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40c2e3400db8baa/Escritorio/Redes/GRUPO C/Actividad1/"/>
    </mc:Choice>
  </mc:AlternateContent>
  <xr:revisionPtr revIDLastSave="0" documentId="8_{980F5394-4B26-4A2F-959B-1899D07E7218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Carta Gantt" sheetId="1" r:id="rId1"/>
    <sheet name="Bitacora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6" l="1"/>
  <c r="K24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F63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F62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F61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F60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F59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F58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F57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F56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F55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F54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F53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F52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F51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F50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F49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F48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F47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F46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F45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F44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F43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F42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F41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F40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F39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F38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F37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F36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F35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F34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F33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F32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J31" i="6"/>
  <c r="I31" i="6"/>
  <c r="H31" i="6"/>
  <c r="F31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F30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F29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F28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F27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F26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F25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J24" i="6"/>
  <c r="I24" i="6"/>
  <c r="H24" i="6"/>
  <c r="F24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F23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F22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F21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F20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F19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F18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F17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F16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F15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F14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F13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F12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F11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F10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F9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F8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F7" i="6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F39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F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F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F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F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F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F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F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F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F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F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F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F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F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F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F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F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F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F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F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F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F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F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F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F40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F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F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F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F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F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F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F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F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F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F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F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F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F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F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F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F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F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F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F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F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F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F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F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F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F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F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F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F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F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F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F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F7" i="1"/>
</calcChain>
</file>

<file path=xl/sharedStrings.xml><?xml version="1.0" encoding="utf-8"?>
<sst xmlns="http://schemas.openxmlformats.org/spreadsheetml/2006/main" count="414" uniqueCount="117">
  <si>
    <t>CARTA GANTT | CONECTA BARRIO · HITOS 1 Y 2</t>
  </si>
  <si>
    <t>Proyecto de redes computacionales · Octubre 2026 · Planificación editable</t>
  </si>
  <si>
    <t>Hito</t>
  </si>
  <si>
    <t>Actividad</t>
  </si>
  <si>
    <t>Responsable</t>
  </si>
  <si>
    <t>Inicio</t>
  </si>
  <si>
    <t>Término</t>
  </si>
  <si>
    <t>Duración (días)</t>
  </si>
  <si>
    <t>Avance (%)</t>
  </si>
  <si>
    <t>Estado</t>
  </si>
  <si>
    <t>01 oct</t>
  </si>
  <si>
    <t>02 oct</t>
  </si>
  <si>
    <t>03 oct</t>
  </si>
  <si>
    <t>04 oct</t>
  </si>
  <si>
    <t>05 oct</t>
  </si>
  <si>
    <t>06 oct</t>
  </si>
  <si>
    <t>07 oct</t>
  </si>
  <si>
    <t>08 oct</t>
  </si>
  <si>
    <t>09 oct</t>
  </si>
  <si>
    <t>10 oct</t>
  </si>
  <si>
    <t>11 oct</t>
  </si>
  <si>
    <t>12 oct</t>
  </si>
  <si>
    <t>13 oct</t>
  </si>
  <si>
    <t>14 oct</t>
  </si>
  <si>
    <t>15 oct</t>
  </si>
  <si>
    <t>16 oct</t>
  </si>
  <si>
    <t>17 oct</t>
  </si>
  <si>
    <t>18 oct</t>
  </si>
  <si>
    <t>19 oct</t>
  </si>
  <si>
    <t>20 oct</t>
  </si>
  <si>
    <t>21 oct</t>
  </si>
  <si>
    <t>22 oct</t>
  </si>
  <si>
    <t>23 oct</t>
  </si>
  <si>
    <t>24 oct</t>
  </si>
  <si>
    <t>25 oct</t>
  </si>
  <si>
    <t>26 oct</t>
  </si>
  <si>
    <t>Hito 1</t>
  </si>
  <si>
    <t>Organización del grupo y definición de roles</t>
  </si>
  <si>
    <t>P1 – Coordinador/a</t>
  </si>
  <si>
    <t>Elaboración matriz RACI</t>
  </si>
  <si>
    <t>Elaboración carta Gantt</t>
  </si>
  <si>
    <t>Creación de bitácora de trabajo</t>
  </si>
  <si>
    <t>Diseño inicial de la topología</t>
  </si>
  <si>
    <t>P3 – Responsable HTTP</t>
  </si>
  <si>
    <t>Configuración de direccionamiento IP</t>
  </si>
  <si>
    <t>P2 – Responsable DNS</t>
  </si>
  <si>
    <t>Configuración DHCP</t>
  </si>
  <si>
    <t>Configuración servidor DNS</t>
  </si>
  <si>
    <t>Configuración servidor HTTP</t>
  </si>
  <si>
    <t>Configuración servidor FTP</t>
  </si>
  <si>
    <t>P4 – Responsable FTP</t>
  </si>
  <si>
    <t>Configuración SMTP/POP3</t>
  </si>
  <si>
    <t>P5 – Responsable SMTP/POP3</t>
  </si>
  <si>
    <t>Configuración Wi-Fi ConectaBarrio</t>
  </si>
  <si>
    <t>Pruebas de conectividad general</t>
  </si>
  <si>
    <t>Todos / P1 coordina</t>
  </si>
  <si>
    <t>Pruebas del servicio DNS</t>
  </si>
  <si>
    <t>Pruebas del servicio HTTP</t>
  </si>
  <si>
    <t>Pruebas del servicio FTP</t>
  </si>
  <si>
    <t>Pruebas del correo SMTP/POP3</t>
  </si>
  <si>
    <t>Capturas y evidencias de funcionamiento</t>
  </si>
  <si>
    <t>Cada responsable de protocolo</t>
  </si>
  <si>
    <t>Uso preliminar de Simulation Mode</t>
  </si>
  <si>
    <t>Análisis preliminar OSI / TCP-IP</t>
  </si>
  <si>
    <t>Investigación preliminar de DNS</t>
  </si>
  <si>
    <t>Investigación preliminar de HTTP</t>
  </si>
  <si>
    <t>Investigación preliminar de FTP</t>
  </si>
  <si>
    <t>Investigación preliminar SMTP/POP3</t>
  </si>
  <si>
    <t>Identificación preliminar de riesgos de seguridad</t>
  </si>
  <si>
    <t>Registro de avances y dificultades</t>
  </si>
  <si>
    <t>P1 – Coordinador/a + Todos</t>
  </si>
  <si>
    <t>Comparación planificado vs. realizado</t>
  </si>
  <si>
    <t>Elaboración e integración del informe</t>
  </si>
  <si>
    <t>Preparación de presentación breve</t>
  </si>
  <si>
    <t>Revisión final del archivo .pkt</t>
  </si>
  <si>
    <t>Revisión final de informe y presentación</t>
  </si>
  <si>
    <t>Entrega Hito 1</t>
  </si>
  <si>
    <t>Hito 2</t>
  </si>
  <si>
    <t>Revisar resultados y observaciones del Hito 1</t>
  </si>
  <si>
    <t>P1 + Todos</t>
  </si>
  <si>
    <t>Actualizar planificación, RACI y Carta Gantt</t>
  </si>
  <si>
    <t>P1</t>
  </si>
  <si>
    <t>Revisar topología y direccionamiento de la LAN</t>
  </si>
  <si>
    <t>P2 + P3</t>
  </si>
  <si>
    <t>Validar DHCP en clientes cableados e inalámbricos</t>
  </si>
  <si>
    <t>P2 + P5</t>
  </si>
  <si>
    <t>Verificar funcionamiento de DNS, HTTP, FTP y correo</t>
  </si>
  <si>
    <t>P2–P5</t>
  </si>
  <si>
    <t>Analizar correspondencia entre OSI y TCP/IP</t>
  </si>
  <si>
    <t>P4</t>
  </si>
  <si>
    <t>Analizar encapsulación y desencapsulación</t>
  </si>
  <si>
    <t>P4 + P3</t>
  </si>
  <si>
    <t>Analizar DNS sobre UDP en Simulation Mode</t>
  </si>
  <si>
    <t>P2 + P4</t>
  </si>
  <si>
    <t>Profundizar HTTP sobre TCP (SYN, SYN-ACK, ACK)</t>
  </si>
  <si>
    <t>P3 + P4</t>
  </si>
  <si>
    <t>Analizar puertos y secuencias de los protocolos de aplicación</t>
  </si>
  <si>
    <t>Comparar TCP y UDP, control de flujo y congestión</t>
  </si>
  <si>
    <t>Analizar efecto de pérdida y congestión en dos servicios</t>
  </si>
  <si>
    <t>P4 + Responsables</t>
  </si>
  <si>
    <t>Analizar riesgos de seguridad identificados en Hito 1</t>
  </si>
  <si>
    <t>P5 + Todos</t>
  </si>
  <si>
    <t>Proponer soluciones y evaluar su viabilidad y limitaciones</t>
  </si>
  <si>
    <t>P5 + P1</t>
  </si>
  <si>
    <t>Implementar mejoras opcionales en copia de la red</t>
  </si>
  <si>
    <t>P4 + P5</t>
  </si>
  <si>
    <t>Comparar arquitectura cliente-servidor y P2P</t>
  </si>
  <si>
    <t>Contrastar protocolos con RFC y documentación técnica</t>
  </si>
  <si>
    <t>Actualizar bitácora y comparar planificado vs. ejecutado</t>
  </si>
  <si>
    <t>Redactar e integrar informe final</t>
  </si>
  <si>
    <t>Revisión técnica cruzada y correcciones finales</t>
  </si>
  <si>
    <t>Todos</t>
  </si>
  <si>
    <t>Preparar presentación final</t>
  </si>
  <si>
    <t>Ensayar exposición y demostración en Packet Tracer</t>
  </si>
  <si>
    <t>Verificar archivos PDF, .pkt, anexos y respaldos</t>
  </si>
  <si>
    <t>Entrega final del Hito 2</t>
  </si>
  <si>
    <t>Presentacion hito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</si>
</sst>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7"/>
      <color rgb="FFFFFFFF"/>
      <name val="Carlito"/>
    </font>
    <font>
      <sz val="11"/>
      <color rgb="FF17613B"/>
      <name val="Carlito"/>
    </font>
    <font>
      <b/>
      <sz val="11"/>
      <color rgb="FFFFFFFF"/>
      <name val="Carlito"/>
    </font>
    <font>
      <sz val="12"/>
      <color rgb="FF008E4C"/>
      <name val="Carlito"/>
    </font>
    <font>
      <b/>
      <sz val="11"/>
      <color rgb="FF755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0A85A"/>
      </patternFill>
    </fill>
    <fill>
      <patternFill patternType="solid">
        <fgColor rgb="FFE5F5EC"/>
      </patternFill>
    </fill>
    <fill>
      <patternFill patternType="solid">
        <fgColor rgb="FF147D4B"/>
      </patternFill>
    </fill>
    <fill>
      <patternFill patternType="solid">
        <fgColor rgb="FFD4F1E0"/>
      </patternFill>
    </fill>
    <fill>
      <patternFill patternType="solid">
        <fgColor rgb="FFFDF1C8"/>
      </patternFill>
    </fill>
    <fill>
      <patternFill patternType="solid">
        <fgColor rgb="FFEDF8F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horizontal="center" vertic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0" fillId="5" borderId="0" xfId="0" applyFill="1"/>
    <xf numFmtId="14" fontId="0" fillId="5" borderId="0" xfId="0" applyNumberFormat="1" applyFill="1"/>
    <xf numFmtId="0" fontId="5" fillId="6" borderId="0" xfId="0" applyFont="1" applyFill="1"/>
    <xf numFmtId="14" fontId="5" fillId="6" borderId="0" xfId="0" applyNumberFormat="1" applyFont="1" applyFill="1"/>
    <xf numFmtId="0" fontId="0" fillId="7" borderId="0" xfId="0" applyFill="1"/>
    <xf numFmtId="14" fontId="0" fillId="7" borderId="0" xfId="0" applyNumberFormat="1" applyFill="1"/>
    <xf numFmtId="0" fontId="0" fillId="7" borderId="0" xfId="0" applyFill="1" applyAlignment="1">
      <alignment wrapText="1"/>
    </xf>
    <xf numFmtId="0" fontId="0" fillId="8" borderId="0" xfId="0" applyFill="1"/>
    <xf numFmtId="14" fontId="0" fillId="8" borderId="0" xfId="0" applyNumberFormat="1" applyFill="1"/>
    <xf numFmtId="0" fontId="0" fillId="8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2">
    <dxf>
      <fill>
        <patternFill>
          <bgColor rgb="FFA5E4C1"/>
        </patternFill>
      </fill>
    </dxf>
    <dxf>
      <fill>
        <patternFill>
          <bgColor rgb="FFA5E4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6"/>
  <sheetViews>
    <sheetView zoomScale="44" zoomScaleNormal="44" workbookViewId="0">
      <pane ySplit="6" topLeftCell="A18" activePane="bottomLeft" state="frozen"/>
      <selection pane="bottomLeft" activeCell="B35" sqref="B35"/>
    </sheetView>
  </sheetViews>
  <sheetFormatPr baseColWidth="10" defaultColWidth="8.6640625" defaultRowHeight="14"/>
  <cols>
    <col min="1" max="1" width="12" customWidth="1"/>
    <col min="2" max="2" width="54" customWidth="1"/>
    <col min="3" max="3" width="29" customWidth="1"/>
    <col min="4" max="5" width="15" customWidth="1"/>
    <col min="6" max="6" width="17" customWidth="1"/>
    <col min="7" max="7" width="28.83203125" customWidth="1"/>
    <col min="8" max="8" width="17" customWidth="1"/>
    <col min="9" max="34" width="9" customWidth="1"/>
  </cols>
  <sheetData>
    <row r="1" spans="1: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1: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5" ht="25" customHeight="1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6" spans="1:35" ht="30" customHeight="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31</v>
      </c>
      <c r="AE6" s="1" t="s">
        <v>32</v>
      </c>
      <c r="AF6" s="1" t="s">
        <v>33</v>
      </c>
      <c r="AG6" s="1" t="s">
        <v>34</v>
      </c>
      <c r="AH6" s="1" t="s">
        <v>35</v>
      </c>
    </row>
    <row r="7" spans="1:35" ht="23" customHeight="1">
      <c r="A7" s="4" t="s">
        <v>36</v>
      </c>
      <c r="B7" s="4" t="s">
        <v>37</v>
      </c>
      <c r="C7" s="4" t="s">
        <v>38</v>
      </c>
      <c r="D7" s="5">
        <v>46296</v>
      </c>
      <c r="E7" s="5">
        <v>46296</v>
      </c>
      <c r="F7" s="4">
        <f t="shared" ref="F7:F39" si="0">E7-D7+1</f>
        <v>1</v>
      </c>
      <c r="G7" s="4">
        <v>100</v>
      </c>
      <c r="H7" s="4" t="str">
        <f t="shared" ref="H7:H39" si="1">IF(G7=100,"Completado",IF(G7=0,"Pendiente","En progreso"))</f>
        <v>Completado</v>
      </c>
      <c r="I7" s="3" t="str">
        <f t="shared" ref="I7:I39" si="2">IF(AND(DATE(2026,10,1)&gt;=$D7,DATE(2026,10,1)&lt;=$E7),IF($G7=100,"■","▰"),"")</f>
        <v>■</v>
      </c>
      <c r="J7" s="3" t="str">
        <f t="shared" ref="J7:J39" si="3">IF(AND(DATE(2026,10,2)&gt;=$D7,DATE(2026,10,2)&lt;=$E7),IF($G7=100,"■","▰"),"")</f>
        <v/>
      </c>
      <c r="K7" s="3" t="str">
        <f t="shared" ref="K7:K39" si="4">IF(AND(DATE(2026,10,3)&gt;=$D7,DATE(2026,10,3)&lt;=$E7),IF($G7=100,"■","▰"),"")</f>
        <v/>
      </c>
      <c r="L7" s="3" t="str">
        <f t="shared" ref="L7:L39" si="5">IF(AND(DATE(2026,10,4)&gt;=$D7,DATE(2026,10,4)&lt;=$E7),IF($G7=100,"■","▰"),"")</f>
        <v/>
      </c>
      <c r="M7" s="3" t="str">
        <f t="shared" ref="M7:M39" si="6">IF(AND(DATE(2026,10,5)&gt;=$D7,DATE(2026,10,5)&lt;=$E7),IF($G7=100,"■","▰"),"")</f>
        <v/>
      </c>
      <c r="N7" s="3" t="str">
        <f t="shared" ref="N7:N39" si="7">IF(AND(DATE(2026,10,6)&gt;=$D7,DATE(2026,10,6)&lt;=$E7),IF($G7=100,"■","▰"),"")</f>
        <v/>
      </c>
      <c r="O7" s="3" t="str">
        <f t="shared" ref="O7:O39" si="8">IF(AND(DATE(2026,10,7)&gt;=$D7,DATE(2026,10,7)&lt;=$E7),IF($G7=100,"■","▰"),"")</f>
        <v/>
      </c>
      <c r="P7" s="3" t="str">
        <f t="shared" ref="P7:P39" si="9">IF(AND(DATE(2026,10,8)&gt;=$D7,DATE(2026,10,8)&lt;=$E7),IF($G7=100,"■","▰"),"")</f>
        <v/>
      </c>
      <c r="Q7" s="3" t="str">
        <f t="shared" ref="Q7:Q39" si="10">IF(AND(DATE(2026,10,9)&gt;=$D7,DATE(2026,10,9)&lt;=$E7),IF($G7=100,"■","▰"),"")</f>
        <v/>
      </c>
      <c r="R7" s="3" t="str">
        <f t="shared" ref="R7:R39" si="11">IF(AND(DATE(2026,10,10)&gt;=$D7,DATE(2026,10,10)&lt;=$E7),IF($G7=100,"■","▰"),"")</f>
        <v/>
      </c>
      <c r="S7" s="3" t="str">
        <f t="shared" ref="S7:S39" si="12">IF(AND(DATE(2026,10,11)&gt;=$D7,DATE(2026,10,11)&lt;=$E7),IF($G7=100,"■","▰"),"")</f>
        <v/>
      </c>
      <c r="T7" s="3" t="str">
        <f t="shared" ref="T7:T39" si="13">IF(AND(DATE(2026,10,12)&gt;=$D7,DATE(2026,10,12)&lt;=$E7),IF($G7=100,"■","▰"),"")</f>
        <v/>
      </c>
      <c r="U7" s="3" t="str">
        <f t="shared" ref="U7:U39" si="14">IF(AND(DATE(2026,10,13)&gt;=$D7,DATE(2026,10,13)&lt;=$E7),IF($G7=100,"■","▰"),"")</f>
        <v/>
      </c>
      <c r="V7" s="3" t="str">
        <f t="shared" ref="V7:V39" si="15">IF(AND(DATE(2026,10,14)&gt;=$D7,DATE(2026,10,14)&lt;=$E7),IF($G7=100,"■","▰"),"")</f>
        <v/>
      </c>
      <c r="W7" s="3" t="str">
        <f t="shared" ref="W7:W39" si="16">IF(AND(DATE(2026,10,15)&gt;=$D7,DATE(2026,10,15)&lt;=$E7),IF($G7=100,"■","▰"),"")</f>
        <v/>
      </c>
      <c r="X7" s="3" t="str">
        <f t="shared" ref="X7:X39" si="17">IF(AND(DATE(2026,10,16)&gt;=$D7,DATE(2026,10,16)&lt;=$E7),IF($G7=100,"■","▰"),"")</f>
        <v/>
      </c>
      <c r="Y7" s="3" t="str">
        <f t="shared" ref="Y7:Y39" si="18">IF(AND(DATE(2026,10,17)&gt;=$D7,DATE(2026,10,17)&lt;=$E7),IF($G7=100,"■","▰"),"")</f>
        <v/>
      </c>
      <c r="Z7" s="3" t="str">
        <f t="shared" ref="Z7:Z39" si="19">IF(AND(DATE(2026,10,18)&gt;=$D7,DATE(2026,10,18)&lt;=$E7),IF($G7=100,"■","▰"),"")</f>
        <v/>
      </c>
      <c r="AA7" s="3" t="str">
        <f t="shared" ref="AA7:AA39" si="20">IF(AND(DATE(2026,10,19)&gt;=$D7,DATE(2026,10,19)&lt;=$E7),IF($G7=100,"■","▰"),"")</f>
        <v/>
      </c>
      <c r="AB7" s="3" t="str">
        <f t="shared" ref="AB7:AB39" si="21">IF(AND(DATE(2026,10,20)&gt;=$D7,DATE(2026,10,20)&lt;=$E7),IF($G7=100,"■","▰"),"")</f>
        <v/>
      </c>
      <c r="AC7" s="3" t="str">
        <f t="shared" ref="AC7:AC39" si="22">IF(AND(DATE(2026,10,21)&gt;=$D7,DATE(2026,10,21)&lt;=$E7),IF($G7=100,"■","▰"),"")</f>
        <v/>
      </c>
      <c r="AD7" s="3" t="str">
        <f t="shared" ref="AD7:AD39" si="23">IF(AND(DATE(2026,10,22)&gt;=$D7,DATE(2026,10,22)&lt;=$E7),IF($G7=100,"■","▰"),"")</f>
        <v/>
      </c>
      <c r="AE7" s="3" t="str">
        <f t="shared" ref="AE7:AE39" si="24">IF(AND(DATE(2026,10,23)&gt;=$D7,DATE(2026,10,23)&lt;=$E7),IF($G7=100,"■","▰"),"")</f>
        <v/>
      </c>
      <c r="AF7" s="3" t="str">
        <f t="shared" ref="AF7:AF39" si="25">IF(AND(DATE(2026,10,24)&gt;=$D7,DATE(2026,10,24)&lt;=$E7),IF($G7=100,"■","▰"),"")</f>
        <v/>
      </c>
      <c r="AG7" s="3" t="str">
        <f t="shared" ref="AG7:AG39" si="26">IF(AND(DATE(2026,10,25)&gt;=$D7,DATE(2026,10,25)&lt;=$E7),IF($G7=100,"■","▰"),"")</f>
        <v/>
      </c>
      <c r="AH7" s="3" t="str">
        <f t="shared" ref="AH7:AH39" si="27">IF(AND(DATE(2026,10,26)&gt;=$D7,DATE(2026,10,26)&lt;=$E7),IF($G7=100,"■","▰"),"")</f>
        <v/>
      </c>
    </row>
    <row r="8" spans="1:35" ht="23" customHeight="1">
      <c r="A8" t="s">
        <v>36</v>
      </c>
      <c r="B8" t="s">
        <v>39</v>
      </c>
      <c r="C8" t="s">
        <v>38</v>
      </c>
      <c r="D8" s="2">
        <v>46296</v>
      </c>
      <c r="E8" s="2">
        <v>46296</v>
      </c>
      <c r="F8">
        <f t="shared" si="0"/>
        <v>1</v>
      </c>
      <c r="G8">
        <v>100</v>
      </c>
      <c r="H8" t="str">
        <f t="shared" si="1"/>
        <v>Completado</v>
      </c>
      <c r="I8" s="3" t="str">
        <f t="shared" si="2"/>
        <v>■</v>
      </c>
      <c r="J8" s="3" t="str">
        <f t="shared" si="3"/>
        <v/>
      </c>
      <c r="K8" s="3" t="str">
        <f t="shared" si="4"/>
        <v/>
      </c>
      <c r="L8" s="3" t="str">
        <f t="shared" si="5"/>
        <v/>
      </c>
      <c r="M8" s="3" t="str">
        <f t="shared" si="6"/>
        <v/>
      </c>
      <c r="N8" s="3" t="str">
        <f t="shared" si="7"/>
        <v/>
      </c>
      <c r="O8" s="3" t="str">
        <f t="shared" si="8"/>
        <v/>
      </c>
      <c r="P8" s="3" t="str">
        <f t="shared" si="9"/>
        <v/>
      </c>
      <c r="Q8" s="3" t="str">
        <f t="shared" si="10"/>
        <v/>
      </c>
      <c r="R8" s="3" t="str">
        <f t="shared" si="11"/>
        <v/>
      </c>
      <c r="S8" s="3" t="str">
        <f t="shared" si="12"/>
        <v/>
      </c>
      <c r="T8" s="3" t="str">
        <f t="shared" si="13"/>
        <v/>
      </c>
      <c r="U8" s="3" t="str">
        <f t="shared" si="14"/>
        <v/>
      </c>
      <c r="V8" s="3" t="str">
        <f t="shared" si="15"/>
        <v/>
      </c>
      <c r="W8" s="3" t="str">
        <f t="shared" si="16"/>
        <v/>
      </c>
      <c r="X8" s="3" t="str">
        <f t="shared" si="17"/>
        <v/>
      </c>
      <c r="Y8" s="3" t="str">
        <f t="shared" si="18"/>
        <v/>
      </c>
      <c r="Z8" s="3" t="str">
        <f t="shared" si="19"/>
        <v/>
      </c>
      <c r="AA8" s="3" t="str">
        <f t="shared" si="20"/>
        <v/>
      </c>
      <c r="AB8" s="3" t="str">
        <f t="shared" si="21"/>
        <v/>
      </c>
      <c r="AC8" s="3" t="str">
        <f t="shared" si="22"/>
        <v/>
      </c>
      <c r="AD8" s="3" t="str">
        <f t="shared" si="23"/>
        <v/>
      </c>
      <c r="AE8" s="3" t="str">
        <f t="shared" si="24"/>
        <v/>
      </c>
      <c r="AF8" s="3" t="str">
        <f t="shared" si="25"/>
        <v/>
      </c>
      <c r="AG8" s="3" t="str">
        <f t="shared" si="26"/>
        <v/>
      </c>
      <c r="AH8" s="3" t="str">
        <f t="shared" si="27"/>
        <v/>
      </c>
    </row>
    <row r="9" spans="1:35" ht="23" customHeight="1">
      <c r="A9" t="s">
        <v>36</v>
      </c>
      <c r="B9" t="s">
        <v>40</v>
      </c>
      <c r="C9" t="s">
        <v>38</v>
      </c>
      <c r="D9" s="2">
        <v>46296</v>
      </c>
      <c r="E9" s="2">
        <v>46296</v>
      </c>
      <c r="F9">
        <f t="shared" si="0"/>
        <v>1</v>
      </c>
      <c r="G9">
        <v>100</v>
      </c>
      <c r="H9" t="str">
        <f t="shared" si="1"/>
        <v>Completado</v>
      </c>
      <c r="I9" s="3" t="str">
        <f t="shared" si="2"/>
        <v>■</v>
      </c>
      <c r="J9" s="3" t="str">
        <f t="shared" si="3"/>
        <v/>
      </c>
      <c r="K9" s="3" t="str">
        <f t="shared" si="4"/>
        <v/>
      </c>
      <c r="L9" s="3" t="str">
        <f t="shared" si="5"/>
        <v/>
      </c>
      <c r="M9" s="3" t="str">
        <f t="shared" si="6"/>
        <v/>
      </c>
      <c r="N9" s="3" t="str">
        <f t="shared" si="7"/>
        <v/>
      </c>
      <c r="O9" s="3" t="str">
        <f t="shared" si="8"/>
        <v/>
      </c>
      <c r="P9" s="3" t="str">
        <f t="shared" si="9"/>
        <v/>
      </c>
      <c r="Q9" s="3" t="str">
        <f t="shared" si="10"/>
        <v/>
      </c>
      <c r="R9" s="3" t="str">
        <f t="shared" si="11"/>
        <v/>
      </c>
      <c r="S9" s="3" t="str">
        <f t="shared" si="12"/>
        <v/>
      </c>
      <c r="T9" s="3" t="str">
        <f t="shared" si="13"/>
        <v/>
      </c>
      <c r="U9" s="3" t="str">
        <f t="shared" si="14"/>
        <v/>
      </c>
      <c r="V9" s="3" t="str">
        <f t="shared" si="15"/>
        <v/>
      </c>
      <c r="W9" s="3" t="str">
        <f t="shared" si="16"/>
        <v/>
      </c>
      <c r="X9" s="3" t="str">
        <f t="shared" si="17"/>
        <v/>
      </c>
      <c r="Y9" s="3" t="str">
        <f t="shared" si="18"/>
        <v/>
      </c>
      <c r="Z9" s="3" t="str">
        <f t="shared" si="19"/>
        <v/>
      </c>
      <c r="AA9" s="3" t="str">
        <f t="shared" si="20"/>
        <v/>
      </c>
      <c r="AB9" s="3" t="str">
        <f t="shared" si="21"/>
        <v/>
      </c>
      <c r="AC9" s="3" t="str">
        <f t="shared" si="22"/>
        <v/>
      </c>
      <c r="AD9" s="3" t="str">
        <f t="shared" si="23"/>
        <v/>
      </c>
      <c r="AE9" s="3" t="str">
        <f t="shared" si="24"/>
        <v/>
      </c>
      <c r="AF9" s="3" t="str">
        <f t="shared" si="25"/>
        <v/>
      </c>
      <c r="AG9" s="3" t="str">
        <f t="shared" si="26"/>
        <v/>
      </c>
      <c r="AH9" s="3" t="str">
        <f t="shared" si="27"/>
        <v/>
      </c>
    </row>
    <row r="10" spans="1:35" ht="23" customHeight="1">
      <c r="A10" t="s">
        <v>36</v>
      </c>
      <c r="B10" t="s">
        <v>41</v>
      </c>
      <c r="C10" t="s">
        <v>38</v>
      </c>
      <c r="D10" s="2">
        <v>46296</v>
      </c>
      <c r="E10" s="2">
        <v>46296</v>
      </c>
      <c r="F10">
        <f t="shared" si="0"/>
        <v>1</v>
      </c>
      <c r="G10">
        <v>100</v>
      </c>
      <c r="H10" t="str">
        <f t="shared" si="1"/>
        <v>Completado</v>
      </c>
      <c r="I10" s="3" t="str">
        <f t="shared" si="2"/>
        <v>■</v>
      </c>
      <c r="J10" s="3" t="str">
        <f t="shared" si="3"/>
        <v/>
      </c>
      <c r="K10" s="3" t="str">
        <f t="shared" si="4"/>
        <v/>
      </c>
      <c r="L10" s="3" t="str">
        <f t="shared" si="5"/>
        <v/>
      </c>
      <c r="M10" s="3" t="str">
        <f t="shared" si="6"/>
        <v/>
      </c>
      <c r="N10" s="3" t="str">
        <f t="shared" si="7"/>
        <v/>
      </c>
      <c r="O10" s="3" t="str">
        <f t="shared" si="8"/>
        <v/>
      </c>
      <c r="P10" s="3" t="str">
        <f t="shared" si="9"/>
        <v/>
      </c>
      <c r="Q10" s="3" t="str">
        <f t="shared" si="10"/>
        <v/>
      </c>
      <c r="R10" s="3" t="str">
        <f t="shared" si="11"/>
        <v/>
      </c>
      <c r="S10" s="3" t="str">
        <f t="shared" si="12"/>
        <v/>
      </c>
      <c r="T10" s="3" t="str">
        <f t="shared" si="13"/>
        <v/>
      </c>
      <c r="U10" s="3" t="str">
        <f t="shared" si="14"/>
        <v/>
      </c>
      <c r="V10" s="3" t="str">
        <f t="shared" si="15"/>
        <v/>
      </c>
      <c r="W10" s="3" t="str">
        <f t="shared" si="16"/>
        <v/>
      </c>
      <c r="X10" s="3" t="str">
        <f t="shared" si="17"/>
        <v/>
      </c>
      <c r="Y10" s="3" t="str">
        <f t="shared" si="18"/>
        <v/>
      </c>
      <c r="Z10" s="3" t="str">
        <f t="shared" si="19"/>
        <v/>
      </c>
      <c r="AA10" s="3" t="str">
        <f t="shared" si="20"/>
        <v/>
      </c>
      <c r="AB10" s="3" t="str">
        <f t="shared" si="21"/>
        <v/>
      </c>
      <c r="AC10" s="3" t="str">
        <f t="shared" si="22"/>
        <v/>
      </c>
      <c r="AD10" s="3" t="str">
        <f t="shared" si="23"/>
        <v/>
      </c>
      <c r="AE10" s="3" t="str">
        <f t="shared" si="24"/>
        <v/>
      </c>
      <c r="AF10" s="3" t="str">
        <f t="shared" si="25"/>
        <v/>
      </c>
      <c r="AG10" s="3" t="str">
        <f t="shared" si="26"/>
        <v/>
      </c>
      <c r="AH10" s="3" t="str">
        <f t="shared" si="27"/>
        <v/>
      </c>
    </row>
    <row r="11" spans="1:35" ht="23" customHeight="1">
      <c r="A11" t="s">
        <v>36</v>
      </c>
      <c r="B11" t="s">
        <v>42</v>
      </c>
      <c r="C11" t="s">
        <v>43</v>
      </c>
      <c r="D11" s="2">
        <v>46296</v>
      </c>
      <c r="E11" s="2">
        <v>46297</v>
      </c>
      <c r="F11">
        <f t="shared" si="0"/>
        <v>2</v>
      </c>
      <c r="G11">
        <v>100</v>
      </c>
      <c r="H11" t="str">
        <f t="shared" si="1"/>
        <v>Completado</v>
      </c>
      <c r="I11" s="3" t="str">
        <f t="shared" si="2"/>
        <v>■</v>
      </c>
      <c r="J11" s="3" t="str">
        <f t="shared" si="3"/>
        <v>■</v>
      </c>
      <c r="K11" s="3" t="str">
        <f t="shared" si="4"/>
        <v/>
      </c>
      <c r="L11" s="3" t="str">
        <f t="shared" si="5"/>
        <v/>
      </c>
      <c r="M11" s="3" t="str">
        <f t="shared" si="6"/>
        <v/>
      </c>
      <c r="N11" s="3" t="str">
        <f t="shared" si="7"/>
        <v/>
      </c>
      <c r="O11" s="3" t="str">
        <f t="shared" si="8"/>
        <v/>
      </c>
      <c r="P11" s="3" t="str">
        <f t="shared" si="9"/>
        <v/>
      </c>
      <c r="Q11" s="3" t="str">
        <f t="shared" si="10"/>
        <v/>
      </c>
      <c r="R11" s="3" t="str">
        <f t="shared" si="11"/>
        <v/>
      </c>
      <c r="S11" s="3" t="str">
        <f t="shared" si="12"/>
        <v/>
      </c>
      <c r="T11" s="3" t="str">
        <f t="shared" si="13"/>
        <v/>
      </c>
      <c r="U11" s="3" t="str">
        <f t="shared" si="14"/>
        <v/>
      </c>
      <c r="V11" s="3" t="str">
        <f t="shared" si="15"/>
        <v/>
      </c>
      <c r="W11" s="3" t="str">
        <f t="shared" si="16"/>
        <v/>
      </c>
      <c r="X11" s="3" t="str">
        <f t="shared" si="17"/>
        <v/>
      </c>
      <c r="Y11" s="3" t="str">
        <f t="shared" si="18"/>
        <v/>
      </c>
      <c r="Z11" s="3" t="str">
        <f t="shared" si="19"/>
        <v/>
      </c>
      <c r="AA11" s="3" t="str">
        <f t="shared" si="20"/>
        <v/>
      </c>
      <c r="AB11" s="3" t="str">
        <f t="shared" si="21"/>
        <v/>
      </c>
      <c r="AC11" s="3" t="str">
        <f t="shared" si="22"/>
        <v/>
      </c>
      <c r="AD11" s="3" t="str">
        <f t="shared" si="23"/>
        <v/>
      </c>
      <c r="AE11" s="3" t="str">
        <f t="shared" si="24"/>
        <v/>
      </c>
      <c r="AF11" s="3" t="str">
        <f t="shared" si="25"/>
        <v/>
      </c>
      <c r="AG11" s="3" t="str">
        <f t="shared" si="26"/>
        <v/>
      </c>
      <c r="AH11" s="3" t="str">
        <f t="shared" si="27"/>
        <v/>
      </c>
    </row>
    <row r="12" spans="1:35" ht="23" customHeight="1">
      <c r="A12" t="s">
        <v>36</v>
      </c>
      <c r="B12" t="s">
        <v>44</v>
      </c>
      <c r="C12" t="s">
        <v>45</v>
      </c>
      <c r="D12" s="2">
        <v>46297</v>
      </c>
      <c r="E12" s="2">
        <v>46297</v>
      </c>
      <c r="F12">
        <f t="shared" si="0"/>
        <v>1</v>
      </c>
      <c r="G12">
        <v>100</v>
      </c>
      <c r="H12" t="str">
        <f t="shared" si="1"/>
        <v>Completado</v>
      </c>
      <c r="I12" s="3" t="str">
        <f t="shared" si="2"/>
        <v/>
      </c>
      <c r="J12" s="3" t="str">
        <f t="shared" si="3"/>
        <v>■</v>
      </c>
      <c r="K12" s="3" t="str">
        <f t="shared" si="4"/>
        <v/>
      </c>
      <c r="L12" s="3" t="str">
        <f t="shared" si="5"/>
        <v/>
      </c>
      <c r="M12" s="3" t="str">
        <f t="shared" si="6"/>
        <v/>
      </c>
      <c r="N12" s="3" t="str">
        <f t="shared" si="7"/>
        <v/>
      </c>
      <c r="O12" s="3" t="str">
        <f t="shared" si="8"/>
        <v/>
      </c>
      <c r="P12" s="3" t="str">
        <f t="shared" si="9"/>
        <v/>
      </c>
      <c r="Q12" s="3" t="str">
        <f t="shared" si="10"/>
        <v/>
      </c>
      <c r="R12" s="3" t="str">
        <f t="shared" si="11"/>
        <v/>
      </c>
      <c r="S12" s="3" t="str">
        <f t="shared" si="12"/>
        <v/>
      </c>
      <c r="T12" s="3" t="str">
        <f t="shared" si="13"/>
        <v/>
      </c>
      <c r="U12" s="3" t="str">
        <f t="shared" si="14"/>
        <v/>
      </c>
      <c r="V12" s="3" t="str">
        <f t="shared" si="15"/>
        <v/>
      </c>
      <c r="W12" s="3" t="str">
        <f t="shared" si="16"/>
        <v/>
      </c>
      <c r="X12" s="3" t="str">
        <f t="shared" si="17"/>
        <v/>
      </c>
      <c r="Y12" s="3" t="str">
        <f t="shared" si="18"/>
        <v/>
      </c>
      <c r="Z12" s="3" t="str">
        <f t="shared" si="19"/>
        <v/>
      </c>
      <c r="AA12" s="3" t="str">
        <f t="shared" si="20"/>
        <v/>
      </c>
      <c r="AB12" s="3" t="str">
        <f t="shared" si="21"/>
        <v/>
      </c>
      <c r="AC12" s="3" t="str">
        <f t="shared" si="22"/>
        <v/>
      </c>
      <c r="AD12" s="3" t="str">
        <f t="shared" si="23"/>
        <v/>
      </c>
      <c r="AE12" s="3" t="str">
        <f t="shared" si="24"/>
        <v/>
      </c>
      <c r="AF12" s="3" t="str">
        <f t="shared" si="25"/>
        <v/>
      </c>
      <c r="AG12" s="3" t="str">
        <f t="shared" si="26"/>
        <v/>
      </c>
      <c r="AH12" s="3" t="str">
        <f t="shared" si="27"/>
        <v/>
      </c>
    </row>
    <row r="13" spans="1:35" ht="23" customHeight="1">
      <c r="A13" t="s">
        <v>36</v>
      </c>
      <c r="B13" t="s">
        <v>46</v>
      </c>
      <c r="C13" t="s">
        <v>45</v>
      </c>
      <c r="D13" s="2">
        <v>46297</v>
      </c>
      <c r="E13" s="2">
        <v>46297</v>
      </c>
      <c r="F13">
        <f t="shared" si="0"/>
        <v>1</v>
      </c>
      <c r="G13">
        <v>100</v>
      </c>
      <c r="H13" t="str">
        <f t="shared" si="1"/>
        <v>Completado</v>
      </c>
      <c r="I13" s="3" t="str">
        <f t="shared" si="2"/>
        <v/>
      </c>
      <c r="J13" s="3" t="str">
        <f t="shared" si="3"/>
        <v>■</v>
      </c>
      <c r="K13" s="3" t="str">
        <f t="shared" si="4"/>
        <v/>
      </c>
      <c r="L13" s="3" t="str">
        <f t="shared" si="5"/>
        <v/>
      </c>
      <c r="M13" s="3" t="str">
        <f t="shared" si="6"/>
        <v/>
      </c>
      <c r="N13" s="3" t="str">
        <f t="shared" si="7"/>
        <v/>
      </c>
      <c r="O13" s="3" t="str">
        <f t="shared" si="8"/>
        <v/>
      </c>
      <c r="P13" s="3" t="str">
        <f t="shared" si="9"/>
        <v/>
      </c>
      <c r="Q13" s="3" t="str">
        <f t="shared" si="10"/>
        <v/>
      </c>
      <c r="R13" s="3" t="str">
        <f t="shared" si="11"/>
        <v/>
      </c>
      <c r="S13" s="3" t="str">
        <f t="shared" si="12"/>
        <v/>
      </c>
      <c r="T13" s="3" t="str">
        <f t="shared" si="13"/>
        <v/>
      </c>
      <c r="U13" s="3" t="str">
        <f t="shared" si="14"/>
        <v/>
      </c>
      <c r="V13" s="3" t="str">
        <f t="shared" si="15"/>
        <v/>
      </c>
      <c r="W13" s="3" t="str">
        <f t="shared" si="16"/>
        <v/>
      </c>
      <c r="X13" s="3" t="str">
        <f t="shared" si="17"/>
        <v/>
      </c>
      <c r="Y13" s="3" t="str">
        <f t="shared" si="18"/>
        <v/>
      </c>
      <c r="Z13" s="3" t="str">
        <f t="shared" si="19"/>
        <v/>
      </c>
      <c r="AA13" s="3" t="str">
        <f t="shared" si="20"/>
        <v/>
      </c>
      <c r="AB13" s="3" t="str">
        <f t="shared" si="21"/>
        <v/>
      </c>
      <c r="AC13" s="3" t="str">
        <f t="shared" si="22"/>
        <v/>
      </c>
      <c r="AD13" s="3" t="str">
        <f t="shared" si="23"/>
        <v/>
      </c>
      <c r="AE13" s="3" t="str">
        <f t="shared" si="24"/>
        <v/>
      </c>
      <c r="AF13" s="3" t="str">
        <f t="shared" si="25"/>
        <v/>
      </c>
      <c r="AG13" s="3" t="str">
        <f t="shared" si="26"/>
        <v/>
      </c>
      <c r="AH13" s="3" t="str">
        <f t="shared" si="27"/>
        <v/>
      </c>
    </row>
    <row r="14" spans="1:35" ht="23" customHeight="1">
      <c r="A14" t="s">
        <v>36</v>
      </c>
      <c r="B14" t="s">
        <v>47</v>
      </c>
      <c r="C14" t="s">
        <v>45</v>
      </c>
      <c r="D14" s="2">
        <v>46297</v>
      </c>
      <c r="E14" s="2">
        <v>46298</v>
      </c>
      <c r="F14">
        <f t="shared" si="0"/>
        <v>2</v>
      </c>
      <c r="G14">
        <v>100</v>
      </c>
      <c r="H14" t="str">
        <f t="shared" si="1"/>
        <v>Completado</v>
      </c>
      <c r="I14" s="3" t="str">
        <f t="shared" si="2"/>
        <v/>
      </c>
      <c r="J14" s="3" t="str">
        <f t="shared" si="3"/>
        <v>■</v>
      </c>
      <c r="K14" s="3" t="str">
        <f t="shared" si="4"/>
        <v>■</v>
      </c>
      <c r="L14" s="3" t="str">
        <f t="shared" si="5"/>
        <v/>
      </c>
      <c r="M14" s="3" t="str">
        <f t="shared" si="6"/>
        <v/>
      </c>
      <c r="N14" s="3" t="str">
        <f t="shared" si="7"/>
        <v/>
      </c>
      <c r="O14" s="3" t="str">
        <f t="shared" si="8"/>
        <v/>
      </c>
      <c r="P14" s="3" t="str">
        <f t="shared" si="9"/>
        <v/>
      </c>
      <c r="Q14" s="3" t="str">
        <f t="shared" si="10"/>
        <v/>
      </c>
      <c r="R14" s="3" t="str">
        <f t="shared" si="11"/>
        <v/>
      </c>
      <c r="S14" s="3" t="str">
        <f t="shared" si="12"/>
        <v/>
      </c>
      <c r="T14" s="3" t="str">
        <f t="shared" si="13"/>
        <v/>
      </c>
      <c r="U14" s="3" t="str">
        <f t="shared" si="14"/>
        <v/>
      </c>
      <c r="V14" s="3" t="str">
        <f t="shared" si="15"/>
        <v/>
      </c>
      <c r="W14" s="3" t="str">
        <f t="shared" si="16"/>
        <v/>
      </c>
      <c r="X14" s="3" t="str">
        <f t="shared" si="17"/>
        <v/>
      </c>
      <c r="Y14" s="3" t="str">
        <f t="shared" si="18"/>
        <v/>
      </c>
      <c r="Z14" s="3" t="str">
        <f t="shared" si="19"/>
        <v/>
      </c>
      <c r="AA14" s="3" t="str">
        <f t="shared" si="20"/>
        <v/>
      </c>
      <c r="AB14" s="3" t="str">
        <f t="shared" si="21"/>
        <v/>
      </c>
      <c r="AC14" s="3" t="str">
        <f t="shared" si="22"/>
        <v/>
      </c>
      <c r="AD14" s="3" t="str">
        <f t="shared" si="23"/>
        <v/>
      </c>
      <c r="AE14" s="3" t="str">
        <f t="shared" si="24"/>
        <v/>
      </c>
      <c r="AF14" s="3" t="str">
        <f t="shared" si="25"/>
        <v/>
      </c>
      <c r="AG14" s="3" t="str">
        <f t="shared" si="26"/>
        <v/>
      </c>
      <c r="AH14" s="3" t="str">
        <f t="shared" si="27"/>
        <v/>
      </c>
    </row>
    <row r="15" spans="1:35" ht="23" customHeight="1">
      <c r="A15" t="s">
        <v>36</v>
      </c>
      <c r="B15" t="s">
        <v>48</v>
      </c>
      <c r="C15" t="s">
        <v>43</v>
      </c>
      <c r="D15" s="2">
        <v>46297</v>
      </c>
      <c r="E15" s="2">
        <v>46298</v>
      </c>
      <c r="F15">
        <f t="shared" si="0"/>
        <v>2</v>
      </c>
      <c r="G15">
        <v>100</v>
      </c>
      <c r="H15" t="str">
        <f t="shared" si="1"/>
        <v>Completado</v>
      </c>
      <c r="I15" s="3" t="str">
        <f t="shared" si="2"/>
        <v/>
      </c>
      <c r="J15" s="3" t="str">
        <f t="shared" si="3"/>
        <v>■</v>
      </c>
      <c r="K15" s="3" t="str">
        <f t="shared" si="4"/>
        <v>■</v>
      </c>
      <c r="L15" s="3" t="str">
        <f t="shared" si="5"/>
        <v/>
      </c>
      <c r="M15" s="3" t="str">
        <f t="shared" si="6"/>
        <v/>
      </c>
      <c r="N15" s="3" t="str">
        <f t="shared" si="7"/>
        <v/>
      </c>
      <c r="O15" s="3" t="str">
        <f t="shared" si="8"/>
        <v/>
      </c>
      <c r="P15" s="3" t="str">
        <f t="shared" si="9"/>
        <v/>
      </c>
      <c r="Q15" s="3" t="str">
        <f t="shared" si="10"/>
        <v/>
      </c>
      <c r="R15" s="3" t="str">
        <f t="shared" si="11"/>
        <v/>
      </c>
      <c r="S15" s="3" t="str">
        <f t="shared" si="12"/>
        <v/>
      </c>
      <c r="T15" s="3" t="str">
        <f t="shared" si="13"/>
        <v/>
      </c>
      <c r="U15" s="3" t="str">
        <f t="shared" si="14"/>
        <v/>
      </c>
      <c r="V15" s="3" t="str">
        <f t="shared" si="15"/>
        <v/>
      </c>
      <c r="W15" s="3" t="str">
        <f t="shared" si="16"/>
        <v/>
      </c>
      <c r="X15" s="3" t="str">
        <f t="shared" si="17"/>
        <v/>
      </c>
      <c r="Y15" s="3" t="str">
        <f t="shared" si="18"/>
        <v/>
      </c>
      <c r="Z15" s="3" t="str">
        <f t="shared" si="19"/>
        <v/>
      </c>
      <c r="AA15" s="3" t="str">
        <f t="shared" si="20"/>
        <v/>
      </c>
      <c r="AB15" s="3" t="str">
        <f t="shared" si="21"/>
        <v/>
      </c>
      <c r="AC15" s="3" t="str">
        <f t="shared" si="22"/>
        <v/>
      </c>
      <c r="AD15" s="3" t="str">
        <f t="shared" si="23"/>
        <v/>
      </c>
      <c r="AE15" s="3" t="str">
        <f t="shared" si="24"/>
        <v/>
      </c>
      <c r="AF15" s="3" t="str">
        <f t="shared" si="25"/>
        <v/>
      </c>
      <c r="AG15" s="3" t="str">
        <f t="shared" si="26"/>
        <v/>
      </c>
      <c r="AH15" s="3" t="str">
        <f t="shared" si="27"/>
        <v/>
      </c>
    </row>
    <row r="16" spans="1:35" ht="23" customHeight="1">
      <c r="A16" t="s">
        <v>36</v>
      </c>
      <c r="B16" t="s">
        <v>49</v>
      </c>
      <c r="C16" t="s">
        <v>50</v>
      </c>
      <c r="D16" s="2">
        <v>46298</v>
      </c>
      <c r="E16" s="2">
        <v>46298</v>
      </c>
      <c r="F16">
        <f t="shared" si="0"/>
        <v>1</v>
      </c>
      <c r="G16">
        <v>100</v>
      </c>
      <c r="H16" t="str">
        <f t="shared" si="1"/>
        <v>Completado</v>
      </c>
      <c r="I16" s="3" t="str">
        <f t="shared" si="2"/>
        <v/>
      </c>
      <c r="J16" s="3" t="str">
        <f t="shared" si="3"/>
        <v/>
      </c>
      <c r="K16" s="3" t="str">
        <f t="shared" si="4"/>
        <v>■</v>
      </c>
      <c r="L16" s="3" t="str">
        <f t="shared" si="5"/>
        <v/>
      </c>
      <c r="M16" s="3" t="str">
        <f t="shared" si="6"/>
        <v/>
      </c>
      <c r="N16" s="3" t="str">
        <f t="shared" si="7"/>
        <v/>
      </c>
      <c r="O16" s="3" t="str">
        <f t="shared" si="8"/>
        <v/>
      </c>
      <c r="P16" s="3" t="str">
        <f t="shared" si="9"/>
        <v/>
      </c>
      <c r="Q16" s="3" t="str">
        <f t="shared" si="10"/>
        <v/>
      </c>
      <c r="R16" s="3" t="str">
        <f t="shared" si="11"/>
        <v/>
      </c>
      <c r="S16" s="3" t="str">
        <f t="shared" si="12"/>
        <v/>
      </c>
      <c r="T16" s="3" t="str">
        <f t="shared" si="13"/>
        <v/>
      </c>
      <c r="U16" s="3" t="str">
        <f t="shared" si="14"/>
        <v/>
      </c>
      <c r="V16" s="3" t="str">
        <f t="shared" si="15"/>
        <v/>
      </c>
      <c r="W16" s="3" t="str">
        <f t="shared" si="16"/>
        <v/>
      </c>
      <c r="X16" s="3" t="str">
        <f t="shared" si="17"/>
        <v/>
      </c>
      <c r="Y16" s="3" t="str">
        <f t="shared" si="18"/>
        <v/>
      </c>
      <c r="Z16" s="3" t="str">
        <f t="shared" si="19"/>
        <v/>
      </c>
      <c r="AA16" s="3" t="str">
        <f t="shared" si="20"/>
        <v/>
      </c>
      <c r="AB16" s="3" t="str">
        <f t="shared" si="21"/>
        <v/>
      </c>
      <c r="AC16" s="3" t="str">
        <f t="shared" si="22"/>
        <v/>
      </c>
      <c r="AD16" s="3" t="str">
        <f t="shared" si="23"/>
        <v/>
      </c>
      <c r="AE16" s="3" t="str">
        <f t="shared" si="24"/>
        <v/>
      </c>
      <c r="AF16" s="3" t="str">
        <f t="shared" si="25"/>
        <v/>
      </c>
      <c r="AG16" s="3" t="str">
        <f t="shared" si="26"/>
        <v/>
      </c>
      <c r="AH16" s="3" t="str">
        <f t="shared" si="27"/>
        <v/>
      </c>
    </row>
    <row r="17" spans="1:34" ht="23" customHeight="1">
      <c r="A17" t="s">
        <v>36</v>
      </c>
      <c r="B17" t="s">
        <v>51</v>
      </c>
      <c r="C17" t="s">
        <v>52</v>
      </c>
      <c r="D17" s="2">
        <v>46298</v>
      </c>
      <c r="E17" s="2">
        <v>46298</v>
      </c>
      <c r="F17">
        <f t="shared" si="0"/>
        <v>1</v>
      </c>
      <c r="G17">
        <v>100</v>
      </c>
      <c r="H17" t="str">
        <f t="shared" si="1"/>
        <v>Completado</v>
      </c>
      <c r="I17" s="3" t="str">
        <f t="shared" si="2"/>
        <v/>
      </c>
      <c r="J17" s="3" t="str">
        <f t="shared" si="3"/>
        <v/>
      </c>
      <c r="K17" s="3" t="str">
        <f t="shared" si="4"/>
        <v>■</v>
      </c>
      <c r="L17" s="3" t="str">
        <f t="shared" si="5"/>
        <v/>
      </c>
      <c r="M17" s="3" t="str">
        <f t="shared" si="6"/>
        <v/>
      </c>
      <c r="N17" s="3" t="str">
        <f t="shared" si="7"/>
        <v/>
      </c>
      <c r="O17" s="3" t="str">
        <f t="shared" si="8"/>
        <v/>
      </c>
      <c r="P17" s="3" t="str">
        <f t="shared" si="9"/>
        <v/>
      </c>
      <c r="Q17" s="3" t="str">
        <f t="shared" si="10"/>
        <v/>
      </c>
      <c r="R17" s="3" t="str">
        <f t="shared" si="11"/>
        <v/>
      </c>
      <c r="S17" s="3" t="str">
        <f t="shared" si="12"/>
        <v/>
      </c>
      <c r="T17" s="3" t="str">
        <f t="shared" si="13"/>
        <v/>
      </c>
      <c r="U17" s="3" t="str">
        <f t="shared" si="14"/>
        <v/>
      </c>
      <c r="V17" s="3" t="str">
        <f t="shared" si="15"/>
        <v/>
      </c>
      <c r="W17" s="3" t="str">
        <f t="shared" si="16"/>
        <v/>
      </c>
      <c r="X17" s="3" t="str">
        <f t="shared" si="17"/>
        <v/>
      </c>
      <c r="Y17" s="3" t="str">
        <f t="shared" si="18"/>
        <v/>
      </c>
      <c r="Z17" s="3" t="str">
        <f t="shared" si="19"/>
        <v/>
      </c>
      <c r="AA17" s="3" t="str">
        <f t="shared" si="20"/>
        <v/>
      </c>
      <c r="AB17" s="3" t="str">
        <f t="shared" si="21"/>
        <v/>
      </c>
      <c r="AC17" s="3" t="str">
        <f t="shared" si="22"/>
        <v/>
      </c>
      <c r="AD17" s="3" t="str">
        <f t="shared" si="23"/>
        <v/>
      </c>
      <c r="AE17" s="3" t="str">
        <f t="shared" si="24"/>
        <v/>
      </c>
      <c r="AF17" s="3" t="str">
        <f t="shared" si="25"/>
        <v/>
      </c>
      <c r="AG17" s="3" t="str">
        <f t="shared" si="26"/>
        <v/>
      </c>
      <c r="AH17" s="3" t="str">
        <f t="shared" si="27"/>
        <v/>
      </c>
    </row>
    <row r="18" spans="1:34" ht="23" customHeight="1">
      <c r="A18" t="s">
        <v>36</v>
      </c>
      <c r="B18" t="s">
        <v>53</v>
      </c>
      <c r="C18" t="s">
        <v>52</v>
      </c>
      <c r="D18" s="2">
        <v>46298</v>
      </c>
      <c r="E18" s="2">
        <v>46298</v>
      </c>
      <c r="F18">
        <f t="shared" si="0"/>
        <v>1</v>
      </c>
      <c r="G18">
        <v>100</v>
      </c>
      <c r="H18" t="str">
        <f t="shared" si="1"/>
        <v>Completado</v>
      </c>
      <c r="I18" s="3" t="str">
        <f t="shared" si="2"/>
        <v/>
      </c>
      <c r="J18" s="3" t="str">
        <f t="shared" si="3"/>
        <v/>
      </c>
      <c r="K18" s="3" t="str">
        <f t="shared" si="4"/>
        <v>■</v>
      </c>
      <c r="L18" s="3" t="str">
        <f t="shared" si="5"/>
        <v/>
      </c>
      <c r="M18" s="3" t="str">
        <f t="shared" si="6"/>
        <v/>
      </c>
      <c r="N18" s="3" t="str">
        <f t="shared" si="7"/>
        <v/>
      </c>
      <c r="O18" s="3" t="str">
        <f t="shared" si="8"/>
        <v/>
      </c>
      <c r="P18" s="3" t="str">
        <f t="shared" si="9"/>
        <v/>
      </c>
      <c r="Q18" s="3" t="str">
        <f t="shared" si="10"/>
        <v/>
      </c>
      <c r="R18" s="3" t="str">
        <f t="shared" si="11"/>
        <v/>
      </c>
      <c r="S18" s="3" t="str">
        <f t="shared" si="12"/>
        <v/>
      </c>
      <c r="T18" s="3" t="str">
        <f t="shared" si="13"/>
        <v/>
      </c>
      <c r="U18" s="3" t="str">
        <f t="shared" si="14"/>
        <v/>
      </c>
      <c r="V18" s="3" t="str">
        <f t="shared" si="15"/>
        <v/>
      </c>
      <c r="W18" s="3" t="str">
        <f t="shared" si="16"/>
        <v/>
      </c>
      <c r="X18" s="3" t="str">
        <f t="shared" si="17"/>
        <v/>
      </c>
      <c r="Y18" s="3" t="str">
        <f t="shared" si="18"/>
        <v/>
      </c>
      <c r="Z18" s="3" t="str">
        <f t="shared" si="19"/>
        <v/>
      </c>
      <c r="AA18" s="3" t="str">
        <f t="shared" si="20"/>
        <v/>
      </c>
      <c r="AB18" s="3" t="str">
        <f t="shared" si="21"/>
        <v/>
      </c>
      <c r="AC18" s="3" t="str">
        <f t="shared" si="22"/>
        <v/>
      </c>
      <c r="AD18" s="3" t="str">
        <f t="shared" si="23"/>
        <v/>
      </c>
      <c r="AE18" s="3" t="str">
        <f t="shared" si="24"/>
        <v/>
      </c>
      <c r="AF18" s="3" t="str">
        <f t="shared" si="25"/>
        <v/>
      </c>
      <c r="AG18" s="3" t="str">
        <f t="shared" si="26"/>
        <v/>
      </c>
      <c r="AH18" s="3" t="str">
        <f t="shared" si="27"/>
        <v/>
      </c>
    </row>
    <row r="19" spans="1:34" ht="23" customHeight="1">
      <c r="A19" t="s">
        <v>36</v>
      </c>
      <c r="B19" t="s">
        <v>54</v>
      </c>
      <c r="C19" t="s">
        <v>55</v>
      </c>
      <c r="D19" s="2">
        <v>46297</v>
      </c>
      <c r="E19" s="2">
        <v>46298</v>
      </c>
      <c r="F19">
        <f t="shared" si="0"/>
        <v>2</v>
      </c>
      <c r="G19">
        <v>100</v>
      </c>
      <c r="H19" t="str">
        <f t="shared" si="1"/>
        <v>Completado</v>
      </c>
      <c r="I19" s="3" t="str">
        <f t="shared" si="2"/>
        <v/>
      </c>
      <c r="J19" s="3" t="str">
        <f t="shared" si="3"/>
        <v>■</v>
      </c>
      <c r="K19" s="3" t="str">
        <f t="shared" si="4"/>
        <v>■</v>
      </c>
      <c r="L19" s="3" t="str">
        <f t="shared" si="5"/>
        <v/>
      </c>
      <c r="M19" s="3" t="str">
        <f t="shared" si="6"/>
        <v/>
      </c>
      <c r="N19" s="3" t="str">
        <f t="shared" si="7"/>
        <v/>
      </c>
      <c r="O19" s="3" t="str">
        <f t="shared" si="8"/>
        <v/>
      </c>
      <c r="P19" s="3" t="str">
        <f t="shared" si="9"/>
        <v/>
      </c>
      <c r="Q19" s="3" t="str">
        <f t="shared" si="10"/>
        <v/>
      </c>
      <c r="R19" s="3" t="str">
        <f t="shared" si="11"/>
        <v/>
      </c>
      <c r="S19" s="3" t="str">
        <f t="shared" si="12"/>
        <v/>
      </c>
      <c r="T19" s="3" t="str">
        <f t="shared" si="13"/>
        <v/>
      </c>
      <c r="U19" s="3" t="str">
        <f t="shared" si="14"/>
        <v/>
      </c>
      <c r="V19" s="3" t="str">
        <f t="shared" si="15"/>
        <v/>
      </c>
      <c r="W19" s="3" t="str">
        <f t="shared" si="16"/>
        <v/>
      </c>
      <c r="X19" s="3" t="str">
        <f t="shared" si="17"/>
        <v/>
      </c>
      <c r="Y19" s="3" t="str">
        <f t="shared" si="18"/>
        <v/>
      </c>
      <c r="Z19" s="3" t="str">
        <f t="shared" si="19"/>
        <v/>
      </c>
      <c r="AA19" s="3" t="str">
        <f t="shared" si="20"/>
        <v/>
      </c>
      <c r="AB19" s="3" t="str">
        <f t="shared" si="21"/>
        <v/>
      </c>
      <c r="AC19" s="3" t="str">
        <f t="shared" si="22"/>
        <v/>
      </c>
      <c r="AD19" s="3" t="str">
        <f t="shared" si="23"/>
        <v/>
      </c>
      <c r="AE19" s="3" t="str">
        <f t="shared" si="24"/>
        <v/>
      </c>
      <c r="AF19" s="3" t="str">
        <f t="shared" si="25"/>
        <v/>
      </c>
      <c r="AG19" s="3" t="str">
        <f t="shared" si="26"/>
        <v/>
      </c>
      <c r="AH19" s="3" t="str">
        <f t="shared" si="27"/>
        <v/>
      </c>
    </row>
    <row r="20" spans="1:34" ht="23" customHeight="1">
      <c r="A20" t="s">
        <v>36</v>
      </c>
      <c r="B20" t="s">
        <v>56</v>
      </c>
      <c r="C20" t="s">
        <v>45</v>
      </c>
      <c r="D20" s="2">
        <v>46298</v>
      </c>
      <c r="E20" s="2">
        <v>46298</v>
      </c>
      <c r="F20">
        <f t="shared" si="0"/>
        <v>1</v>
      </c>
      <c r="G20">
        <v>100</v>
      </c>
      <c r="H20" t="str">
        <f t="shared" si="1"/>
        <v>Completado</v>
      </c>
      <c r="I20" s="3" t="str">
        <f t="shared" si="2"/>
        <v/>
      </c>
      <c r="J20" s="3" t="str">
        <f t="shared" si="3"/>
        <v/>
      </c>
      <c r="K20" s="3" t="str">
        <f t="shared" si="4"/>
        <v>■</v>
      </c>
      <c r="L20" s="3" t="str">
        <f t="shared" si="5"/>
        <v/>
      </c>
      <c r="M20" s="3" t="str">
        <f t="shared" si="6"/>
        <v/>
      </c>
      <c r="N20" s="3" t="str">
        <f t="shared" si="7"/>
        <v/>
      </c>
      <c r="O20" s="3" t="str">
        <f t="shared" si="8"/>
        <v/>
      </c>
      <c r="P20" s="3" t="str">
        <f t="shared" si="9"/>
        <v/>
      </c>
      <c r="Q20" s="3" t="str">
        <f t="shared" si="10"/>
        <v/>
      </c>
      <c r="R20" s="3" t="str">
        <f t="shared" si="11"/>
        <v/>
      </c>
      <c r="S20" s="3" t="str">
        <f t="shared" si="12"/>
        <v/>
      </c>
      <c r="T20" s="3" t="str">
        <f t="shared" si="13"/>
        <v/>
      </c>
      <c r="U20" s="3" t="str">
        <f t="shared" si="14"/>
        <v/>
      </c>
      <c r="V20" s="3" t="str">
        <f t="shared" si="15"/>
        <v/>
      </c>
      <c r="W20" s="3" t="str">
        <f t="shared" si="16"/>
        <v/>
      </c>
      <c r="X20" s="3" t="str">
        <f t="shared" si="17"/>
        <v/>
      </c>
      <c r="Y20" s="3" t="str">
        <f t="shared" si="18"/>
        <v/>
      </c>
      <c r="Z20" s="3" t="str">
        <f t="shared" si="19"/>
        <v/>
      </c>
      <c r="AA20" s="3" t="str">
        <f t="shared" si="20"/>
        <v/>
      </c>
      <c r="AB20" s="3" t="str">
        <f t="shared" si="21"/>
        <v/>
      </c>
      <c r="AC20" s="3" t="str">
        <f t="shared" si="22"/>
        <v/>
      </c>
      <c r="AD20" s="3" t="str">
        <f t="shared" si="23"/>
        <v/>
      </c>
      <c r="AE20" s="3" t="str">
        <f t="shared" si="24"/>
        <v/>
      </c>
      <c r="AF20" s="3" t="str">
        <f t="shared" si="25"/>
        <v/>
      </c>
      <c r="AG20" s="3" t="str">
        <f t="shared" si="26"/>
        <v/>
      </c>
      <c r="AH20" s="3" t="str">
        <f t="shared" si="27"/>
        <v/>
      </c>
    </row>
    <row r="21" spans="1:34" ht="23" customHeight="1">
      <c r="A21" t="s">
        <v>36</v>
      </c>
      <c r="B21" t="s">
        <v>57</v>
      </c>
      <c r="C21" t="s">
        <v>43</v>
      </c>
      <c r="D21" s="2">
        <v>46298</v>
      </c>
      <c r="E21" s="2">
        <v>46298</v>
      </c>
      <c r="F21">
        <f t="shared" si="0"/>
        <v>1</v>
      </c>
      <c r="G21">
        <v>100</v>
      </c>
      <c r="H21" t="str">
        <f t="shared" si="1"/>
        <v>Completado</v>
      </c>
      <c r="I21" s="3" t="str">
        <f t="shared" si="2"/>
        <v/>
      </c>
      <c r="J21" s="3" t="str">
        <f t="shared" si="3"/>
        <v/>
      </c>
      <c r="K21" s="3" t="str">
        <f t="shared" si="4"/>
        <v>■</v>
      </c>
      <c r="L21" s="3" t="str">
        <f t="shared" si="5"/>
        <v/>
      </c>
      <c r="M21" s="3" t="str">
        <f t="shared" si="6"/>
        <v/>
      </c>
      <c r="N21" s="3" t="str">
        <f t="shared" si="7"/>
        <v/>
      </c>
      <c r="O21" s="3" t="str">
        <f t="shared" si="8"/>
        <v/>
      </c>
      <c r="P21" s="3" t="str">
        <f t="shared" si="9"/>
        <v/>
      </c>
      <c r="Q21" s="3" t="str">
        <f t="shared" si="10"/>
        <v/>
      </c>
      <c r="R21" s="3" t="str">
        <f t="shared" si="11"/>
        <v/>
      </c>
      <c r="S21" s="3" t="str">
        <f t="shared" si="12"/>
        <v/>
      </c>
      <c r="T21" s="3" t="str">
        <f t="shared" si="13"/>
        <v/>
      </c>
      <c r="U21" s="3" t="str">
        <f t="shared" si="14"/>
        <v/>
      </c>
      <c r="V21" s="3" t="str">
        <f t="shared" si="15"/>
        <v/>
      </c>
      <c r="W21" s="3" t="str">
        <f t="shared" si="16"/>
        <v/>
      </c>
      <c r="X21" s="3" t="str">
        <f t="shared" si="17"/>
        <v/>
      </c>
      <c r="Y21" s="3" t="str">
        <f t="shared" si="18"/>
        <v/>
      </c>
      <c r="Z21" s="3" t="str">
        <f t="shared" si="19"/>
        <v/>
      </c>
      <c r="AA21" s="3" t="str">
        <f t="shared" si="20"/>
        <v/>
      </c>
      <c r="AB21" s="3" t="str">
        <f t="shared" si="21"/>
        <v/>
      </c>
      <c r="AC21" s="3" t="str">
        <f t="shared" si="22"/>
        <v/>
      </c>
      <c r="AD21" s="3" t="str">
        <f t="shared" si="23"/>
        <v/>
      </c>
      <c r="AE21" s="3" t="str">
        <f t="shared" si="24"/>
        <v/>
      </c>
      <c r="AF21" s="3" t="str">
        <f t="shared" si="25"/>
        <v/>
      </c>
      <c r="AG21" s="3" t="str">
        <f t="shared" si="26"/>
        <v/>
      </c>
      <c r="AH21" s="3" t="str">
        <f t="shared" si="27"/>
        <v/>
      </c>
    </row>
    <row r="22" spans="1:34" ht="23" customHeight="1">
      <c r="A22" t="s">
        <v>36</v>
      </c>
      <c r="B22" t="s">
        <v>58</v>
      </c>
      <c r="C22" t="s">
        <v>50</v>
      </c>
      <c r="D22" s="2">
        <v>46298</v>
      </c>
      <c r="E22" s="2">
        <v>46298</v>
      </c>
      <c r="F22">
        <f t="shared" si="0"/>
        <v>1</v>
      </c>
      <c r="G22">
        <v>100</v>
      </c>
      <c r="H22" t="str">
        <f t="shared" si="1"/>
        <v>Completado</v>
      </c>
      <c r="I22" s="3" t="str">
        <f t="shared" si="2"/>
        <v/>
      </c>
      <c r="J22" s="3" t="str">
        <f t="shared" si="3"/>
        <v/>
      </c>
      <c r="K22" s="3" t="str">
        <f t="shared" si="4"/>
        <v>■</v>
      </c>
      <c r="L22" s="3" t="str">
        <f t="shared" si="5"/>
        <v/>
      </c>
      <c r="M22" s="3" t="str">
        <f t="shared" si="6"/>
        <v/>
      </c>
      <c r="N22" s="3" t="str">
        <f t="shared" si="7"/>
        <v/>
      </c>
      <c r="O22" s="3" t="str">
        <f t="shared" si="8"/>
        <v/>
      </c>
      <c r="P22" s="3" t="str">
        <f t="shared" si="9"/>
        <v/>
      </c>
      <c r="Q22" s="3" t="str">
        <f t="shared" si="10"/>
        <v/>
      </c>
      <c r="R22" s="3" t="str">
        <f t="shared" si="11"/>
        <v/>
      </c>
      <c r="S22" s="3" t="str">
        <f t="shared" si="12"/>
        <v/>
      </c>
      <c r="T22" s="3" t="str">
        <f t="shared" si="13"/>
        <v/>
      </c>
      <c r="U22" s="3" t="str">
        <f t="shared" si="14"/>
        <v/>
      </c>
      <c r="V22" s="3" t="str">
        <f t="shared" si="15"/>
        <v/>
      </c>
      <c r="W22" s="3" t="str">
        <f t="shared" si="16"/>
        <v/>
      </c>
      <c r="X22" s="3" t="str">
        <f t="shared" si="17"/>
        <v/>
      </c>
      <c r="Y22" s="3" t="str">
        <f t="shared" si="18"/>
        <v/>
      </c>
      <c r="Z22" s="3" t="str">
        <f t="shared" si="19"/>
        <v/>
      </c>
      <c r="AA22" s="3" t="str">
        <f t="shared" si="20"/>
        <v/>
      </c>
      <c r="AB22" s="3" t="str">
        <f t="shared" si="21"/>
        <v/>
      </c>
      <c r="AC22" s="3" t="str">
        <f t="shared" si="22"/>
        <v/>
      </c>
      <c r="AD22" s="3" t="str">
        <f t="shared" si="23"/>
        <v/>
      </c>
      <c r="AE22" s="3" t="str">
        <f t="shared" si="24"/>
        <v/>
      </c>
      <c r="AF22" s="3" t="str">
        <f t="shared" si="25"/>
        <v/>
      </c>
      <c r="AG22" s="3" t="str">
        <f t="shared" si="26"/>
        <v/>
      </c>
      <c r="AH22" s="3" t="str">
        <f t="shared" si="27"/>
        <v/>
      </c>
    </row>
    <row r="23" spans="1:34" ht="23" customHeight="1">
      <c r="A23" t="s">
        <v>36</v>
      </c>
      <c r="B23" t="s">
        <v>59</v>
      </c>
      <c r="C23" t="s">
        <v>52</v>
      </c>
      <c r="D23" s="2">
        <v>46298</v>
      </c>
      <c r="E23" s="2">
        <v>46298</v>
      </c>
      <c r="F23">
        <f t="shared" si="0"/>
        <v>1</v>
      </c>
      <c r="G23">
        <v>100</v>
      </c>
      <c r="H23" t="str">
        <f t="shared" si="1"/>
        <v>Completado</v>
      </c>
      <c r="I23" s="3" t="str">
        <f t="shared" si="2"/>
        <v/>
      </c>
      <c r="J23" s="3" t="str">
        <f t="shared" si="3"/>
        <v/>
      </c>
      <c r="K23" s="3" t="str">
        <f t="shared" si="4"/>
        <v>■</v>
      </c>
      <c r="L23" s="3" t="str">
        <f t="shared" si="5"/>
        <v/>
      </c>
      <c r="M23" s="3" t="str">
        <f t="shared" si="6"/>
        <v/>
      </c>
      <c r="N23" s="3" t="str">
        <f t="shared" si="7"/>
        <v/>
      </c>
      <c r="O23" s="3" t="str">
        <f t="shared" si="8"/>
        <v/>
      </c>
      <c r="P23" s="3" t="str">
        <f t="shared" si="9"/>
        <v/>
      </c>
      <c r="Q23" s="3" t="str">
        <f t="shared" si="10"/>
        <v/>
      </c>
      <c r="R23" s="3" t="str">
        <f t="shared" si="11"/>
        <v/>
      </c>
      <c r="S23" s="3" t="str">
        <f t="shared" si="12"/>
        <v/>
      </c>
      <c r="T23" s="3" t="str">
        <f t="shared" si="13"/>
        <v/>
      </c>
      <c r="U23" s="3" t="str">
        <f t="shared" si="14"/>
        <v/>
      </c>
      <c r="V23" s="3" t="str">
        <f t="shared" si="15"/>
        <v/>
      </c>
      <c r="W23" s="3" t="str">
        <f t="shared" si="16"/>
        <v/>
      </c>
      <c r="X23" s="3" t="str">
        <f t="shared" si="17"/>
        <v/>
      </c>
      <c r="Y23" s="3" t="str">
        <f t="shared" si="18"/>
        <v/>
      </c>
      <c r="Z23" s="3" t="str">
        <f t="shared" si="19"/>
        <v/>
      </c>
      <c r="AA23" s="3" t="str">
        <f t="shared" si="20"/>
        <v/>
      </c>
      <c r="AB23" s="3" t="str">
        <f t="shared" si="21"/>
        <v/>
      </c>
      <c r="AC23" s="3" t="str">
        <f t="shared" si="22"/>
        <v/>
      </c>
      <c r="AD23" s="3" t="str">
        <f t="shared" si="23"/>
        <v/>
      </c>
      <c r="AE23" s="3" t="str">
        <f t="shared" si="24"/>
        <v/>
      </c>
      <c r="AF23" s="3" t="str">
        <f t="shared" si="25"/>
        <v/>
      </c>
      <c r="AG23" s="3" t="str">
        <f t="shared" si="26"/>
        <v/>
      </c>
      <c r="AH23" s="3" t="str">
        <f t="shared" si="27"/>
        <v/>
      </c>
    </row>
    <row r="24" spans="1:34" ht="23" customHeight="1">
      <c r="A24" t="s">
        <v>36</v>
      </c>
      <c r="B24" t="s">
        <v>60</v>
      </c>
      <c r="C24" t="s">
        <v>61</v>
      </c>
      <c r="D24" s="2">
        <v>46297</v>
      </c>
      <c r="E24" s="2">
        <v>46299</v>
      </c>
      <c r="F24">
        <f t="shared" si="0"/>
        <v>3</v>
      </c>
      <c r="G24">
        <v>100</v>
      </c>
      <c r="H24" t="str">
        <f t="shared" si="1"/>
        <v>Completado</v>
      </c>
      <c r="I24" s="3" t="str">
        <f t="shared" si="2"/>
        <v/>
      </c>
      <c r="J24" s="3" t="str">
        <f t="shared" si="3"/>
        <v>■</v>
      </c>
      <c r="K24" s="3" t="str">
        <f t="shared" si="4"/>
        <v>■</v>
      </c>
      <c r="L24" s="3" t="str">
        <f t="shared" si="5"/>
        <v>■</v>
      </c>
      <c r="M24" s="3" t="str">
        <f t="shared" si="6"/>
        <v/>
      </c>
      <c r="N24" s="3" t="str">
        <f t="shared" si="7"/>
        <v/>
      </c>
      <c r="O24" s="3" t="str">
        <f t="shared" si="8"/>
        <v/>
      </c>
      <c r="P24" s="3" t="str">
        <f t="shared" si="9"/>
        <v/>
      </c>
      <c r="Q24" s="3" t="str">
        <f t="shared" si="10"/>
        <v/>
      </c>
      <c r="R24" s="3" t="str">
        <f t="shared" si="11"/>
        <v/>
      </c>
      <c r="S24" s="3" t="str">
        <f t="shared" si="12"/>
        <v/>
      </c>
      <c r="T24" s="3" t="str">
        <f t="shared" si="13"/>
        <v/>
      </c>
      <c r="U24" s="3" t="str">
        <f t="shared" si="14"/>
        <v/>
      </c>
      <c r="V24" s="3" t="str">
        <f t="shared" si="15"/>
        <v/>
      </c>
      <c r="W24" s="3" t="str">
        <f t="shared" si="16"/>
        <v/>
      </c>
      <c r="X24" s="3" t="str">
        <f t="shared" si="17"/>
        <v/>
      </c>
      <c r="Y24" s="3" t="str">
        <f t="shared" si="18"/>
        <v/>
      </c>
      <c r="Z24" s="3" t="str">
        <f t="shared" si="19"/>
        <v/>
      </c>
      <c r="AA24" s="3" t="str">
        <f t="shared" si="20"/>
        <v/>
      </c>
      <c r="AB24" s="3" t="str">
        <f t="shared" si="21"/>
        <v/>
      </c>
      <c r="AC24" s="3" t="str">
        <f t="shared" si="22"/>
        <v/>
      </c>
      <c r="AD24" s="3" t="str">
        <f t="shared" si="23"/>
        <v/>
      </c>
      <c r="AE24" s="3" t="str">
        <f t="shared" si="24"/>
        <v/>
      </c>
      <c r="AF24" s="3" t="str">
        <f t="shared" si="25"/>
        <v/>
      </c>
      <c r="AG24" s="3" t="str">
        <f t="shared" si="26"/>
        <v/>
      </c>
      <c r="AH24" s="3" t="str">
        <f t="shared" si="27"/>
        <v/>
      </c>
    </row>
    <row r="25" spans="1:34" ht="23" customHeight="1">
      <c r="A25" t="s">
        <v>36</v>
      </c>
      <c r="B25" t="s">
        <v>62</v>
      </c>
      <c r="C25" t="s">
        <v>50</v>
      </c>
      <c r="D25" s="2">
        <v>46298</v>
      </c>
      <c r="E25" s="2">
        <v>46299</v>
      </c>
      <c r="F25">
        <f t="shared" si="0"/>
        <v>2</v>
      </c>
      <c r="G25">
        <v>100</v>
      </c>
      <c r="H25" t="str">
        <f t="shared" si="1"/>
        <v>Completado</v>
      </c>
      <c r="I25" s="3" t="str">
        <f t="shared" si="2"/>
        <v/>
      </c>
      <c r="J25" s="3" t="str">
        <f t="shared" si="3"/>
        <v/>
      </c>
      <c r="K25" s="3" t="str">
        <f t="shared" si="4"/>
        <v>■</v>
      </c>
      <c r="L25" s="3" t="str">
        <f t="shared" si="5"/>
        <v>■</v>
      </c>
      <c r="M25" s="3" t="str">
        <f t="shared" si="6"/>
        <v/>
      </c>
      <c r="N25" s="3" t="str">
        <f t="shared" si="7"/>
        <v/>
      </c>
      <c r="O25" s="3" t="str">
        <f t="shared" si="8"/>
        <v/>
      </c>
      <c r="P25" s="3" t="str">
        <f t="shared" si="9"/>
        <v/>
      </c>
      <c r="Q25" s="3" t="str">
        <f t="shared" si="10"/>
        <v/>
      </c>
      <c r="R25" s="3" t="str">
        <f t="shared" si="11"/>
        <v/>
      </c>
      <c r="S25" s="3" t="str">
        <f t="shared" si="12"/>
        <v/>
      </c>
      <c r="T25" s="3" t="str">
        <f t="shared" si="13"/>
        <v/>
      </c>
      <c r="U25" s="3" t="str">
        <f t="shared" si="14"/>
        <v/>
      </c>
      <c r="V25" s="3" t="str">
        <f t="shared" si="15"/>
        <v/>
      </c>
      <c r="W25" s="3" t="str">
        <f t="shared" si="16"/>
        <v/>
      </c>
      <c r="X25" s="3" t="str">
        <f t="shared" si="17"/>
        <v/>
      </c>
      <c r="Y25" s="3" t="str">
        <f t="shared" si="18"/>
        <v/>
      </c>
      <c r="Z25" s="3" t="str">
        <f t="shared" si="19"/>
        <v/>
      </c>
      <c r="AA25" s="3" t="str">
        <f t="shared" si="20"/>
        <v/>
      </c>
      <c r="AB25" s="3" t="str">
        <f t="shared" si="21"/>
        <v/>
      </c>
      <c r="AC25" s="3" t="str">
        <f t="shared" si="22"/>
        <v/>
      </c>
      <c r="AD25" s="3" t="str">
        <f t="shared" si="23"/>
        <v/>
      </c>
      <c r="AE25" s="3" t="str">
        <f t="shared" si="24"/>
        <v/>
      </c>
      <c r="AF25" s="3" t="str">
        <f t="shared" si="25"/>
        <v/>
      </c>
      <c r="AG25" s="3" t="str">
        <f t="shared" si="26"/>
        <v/>
      </c>
      <c r="AH25" s="3" t="str">
        <f t="shared" si="27"/>
        <v/>
      </c>
    </row>
    <row r="26" spans="1:34" ht="23" customHeight="1">
      <c r="A26" t="s">
        <v>36</v>
      </c>
      <c r="B26" t="s">
        <v>63</v>
      </c>
      <c r="C26" t="s">
        <v>50</v>
      </c>
      <c r="D26" s="2">
        <v>46298</v>
      </c>
      <c r="E26" s="2">
        <v>46299</v>
      </c>
      <c r="F26">
        <f t="shared" si="0"/>
        <v>2</v>
      </c>
      <c r="G26">
        <v>100</v>
      </c>
      <c r="H26" t="str">
        <f t="shared" si="1"/>
        <v>Completado</v>
      </c>
      <c r="I26" s="3" t="str">
        <f t="shared" si="2"/>
        <v/>
      </c>
      <c r="J26" s="3" t="str">
        <f t="shared" si="3"/>
        <v/>
      </c>
      <c r="K26" s="3" t="str">
        <f t="shared" si="4"/>
        <v>■</v>
      </c>
      <c r="L26" s="3" t="str">
        <f t="shared" si="5"/>
        <v>■</v>
      </c>
      <c r="M26" s="3" t="str">
        <f t="shared" si="6"/>
        <v/>
      </c>
      <c r="N26" s="3" t="str">
        <f t="shared" si="7"/>
        <v/>
      </c>
      <c r="O26" s="3" t="str">
        <f t="shared" si="8"/>
        <v/>
      </c>
      <c r="P26" s="3" t="str">
        <f t="shared" si="9"/>
        <v/>
      </c>
      <c r="Q26" s="3" t="str">
        <f t="shared" si="10"/>
        <v/>
      </c>
      <c r="R26" s="3" t="str">
        <f t="shared" si="11"/>
        <v/>
      </c>
      <c r="S26" s="3" t="str">
        <f t="shared" si="12"/>
        <v/>
      </c>
      <c r="T26" s="3" t="str">
        <f t="shared" si="13"/>
        <v/>
      </c>
      <c r="U26" s="3" t="str">
        <f t="shared" si="14"/>
        <v/>
      </c>
      <c r="V26" s="3" t="str">
        <f t="shared" si="15"/>
        <v/>
      </c>
      <c r="W26" s="3" t="str">
        <f t="shared" si="16"/>
        <v/>
      </c>
      <c r="X26" s="3" t="str">
        <f t="shared" si="17"/>
        <v/>
      </c>
      <c r="Y26" s="3" t="str">
        <f t="shared" si="18"/>
        <v/>
      </c>
      <c r="Z26" s="3" t="str">
        <f t="shared" si="19"/>
        <v/>
      </c>
      <c r="AA26" s="3" t="str">
        <f t="shared" si="20"/>
        <v/>
      </c>
      <c r="AB26" s="3" t="str">
        <f t="shared" si="21"/>
        <v/>
      </c>
      <c r="AC26" s="3" t="str">
        <f t="shared" si="22"/>
        <v/>
      </c>
      <c r="AD26" s="3" t="str">
        <f t="shared" si="23"/>
        <v/>
      </c>
      <c r="AE26" s="3" t="str">
        <f t="shared" si="24"/>
        <v/>
      </c>
      <c r="AF26" s="3" t="str">
        <f t="shared" si="25"/>
        <v/>
      </c>
      <c r="AG26" s="3" t="str">
        <f t="shared" si="26"/>
        <v/>
      </c>
      <c r="AH26" s="3" t="str">
        <f t="shared" si="27"/>
        <v/>
      </c>
    </row>
    <row r="27" spans="1:34" ht="23" customHeight="1">
      <c r="A27" t="s">
        <v>36</v>
      </c>
      <c r="B27" t="s">
        <v>64</v>
      </c>
      <c r="C27" t="s">
        <v>45</v>
      </c>
      <c r="D27" s="2">
        <v>46297</v>
      </c>
      <c r="E27" s="2">
        <v>46298</v>
      </c>
      <c r="F27">
        <f t="shared" si="0"/>
        <v>2</v>
      </c>
      <c r="G27">
        <v>100</v>
      </c>
      <c r="H27" t="str">
        <f t="shared" si="1"/>
        <v>Completado</v>
      </c>
      <c r="I27" s="3" t="str">
        <f t="shared" si="2"/>
        <v/>
      </c>
      <c r="J27" s="3" t="str">
        <f t="shared" si="3"/>
        <v>■</v>
      </c>
      <c r="K27" s="3" t="str">
        <f t="shared" si="4"/>
        <v>■</v>
      </c>
      <c r="L27" s="3" t="str">
        <f t="shared" si="5"/>
        <v/>
      </c>
      <c r="M27" s="3" t="str">
        <f t="shared" si="6"/>
        <v/>
      </c>
      <c r="N27" s="3" t="str">
        <f t="shared" si="7"/>
        <v/>
      </c>
      <c r="O27" s="3" t="str">
        <f t="shared" si="8"/>
        <v/>
      </c>
      <c r="P27" s="3" t="str">
        <f t="shared" si="9"/>
        <v/>
      </c>
      <c r="Q27" s="3" t="str">
        <f t="shared" si="10"/>
        <v/>
      </c>
      <c r="R27" s="3" t="str">
        <f t="shared" si="11"/>
        <v/>
      </c>
      <c r="S27" s="3" t="str">
        <f t="shared" si="12"/>
        <v/>
      </c>
      <c r="T27" s="3" t="str">
        <f t="shared" si="13"/>
        <v/>
      </c>
      <c r="U27" s="3" t="str">
        <f t="shared" si="14"/>
        <v/>
      </c>
      <c r="V27" s="3" t="str">
        <f t="shared" si="15"/>
        <v/>
      </c>
      <c r="W27" s="3" t="str">
        <f t="shared" si="16"/>
        <v/>
      </c>
      <c r="X27" s="3" t="str">
        <f t="shared" si="17"/>
        <v/>
      </c>
      <c r="Y27" s="3" t="str">
        <f t="shared" si="18"/>
        <v/>
      </c>
      <c r="Z27" s="3" t="str">
        <f t="shared" si="19"/>
        <v/>
      </c>
      <c r="AA27" s="3" t="str">
        <f t="shared" si="20"/>
        <v/>
      </c>
      <c r="AB27" s="3" t="str">
        <f t="shared" si="21"/>
        <v/>
      </c>
      <c r="AC27" s="3" t="str">
        <f t="shared" si="22"/>
        <v/>
      </c>
      <c r="AD27" s="3" t="str">
        <f t="shared" si="23"/>
        <v/>
      </c>
      <c r="AE27" s="3" t="str">
        <f t="shared" si="24"/>
        <v/>
      </c>
      <c r="AF27" s="3" t="str">
        <f t="shared" si="25"/>
        <v/>
      </c>
      <c r="AG27" s="3" t="str">
        <f t="shared" si="26"/>
        <v/>
      </c>
      <c r="AH27" s="3" t="str">
        <f t="shared" si="27"/>
        <v/>
      </c>
    </row>
    <row r="28" spans="1:34" ht="23" customHeight="1">
      <c r="A28" t="s">
        <v>36</v>
      </c>
      <c r="B28" t="s">
        <v>65</v>
      </c>
      <c r="C28" t="s">
        <v>43</v>
      </c>
      <c r="D28" s="2">
        <v>46297</v>
      </c>
      <c r="E28" s="2">
        <v>46298</v>
      </c>
      <c r="F28">
        <f t="shared" si="0"/>
        <v>2</v>
      </c>
      <c r="G28">
        <v>100</v>
      </c>
      <c r="H28" t="str">
        <f t="shared" si="1"/>
        <v>Completado</v>
      </c>
      <c r="I28" s="3" t="str">
        <f t="shared" si="2"/>
        <v/>
      </c>
      <c r="J28" s="3" t="str">
        <f t="shared" si="3"/>
        <v>■</v>
      </c>
      <c r="K28" s="3" t="str">
        <f t="shared" si="4"/>
        <v>■</v>
      </c>
      <c r="L28" s="3" t="str">
        <f t="shared" si="5"/>
        <v/>
      </c>
      <c r="M28" s="3" t="str">
        <f t="shared" si="6"/>
        <v/>
      </c>
      <c r="N28" s="3" t="str">
        <f t="shared" si="7"/>
        <v/>
      </c>
      <c r="O28" s="3" t="str">
        <f t="shared" si="8"/>
        <v/>
      </c>
      <c r="P28" s="3" t="str">
        <f t="shared" si="9"/>
        <v/>
      </c>
      <c r="Q28" s="3" t="str">
        <f t="shared" si="10"/>
        <v/>
      </c>
      <c r="R28" s="3" t="str">
        <f t="shared" si="11"/>
        <v/>
      </c>
      <c r="S28" s="3" t="str">
        <f t="shared" si="12"/>
        <v/>
      </c>
      <c r="T28" s="3" t="str">
        <f t="shared" si="13"/>
        <v/>
      </c>
      <c r="U28" s="3" t="str">
        <f t="shared" si="14"/>
        <v/>
      </c>
      <c r="V28" s="3" t="str">
        <f t="shared" si="15"/>
        <v/>
      </c>
      <c r="W28" s="3" t="str">
        <f t="shared" si="16"/>
        <v/>
      </c>
      <c r="X28" s="3" t="str">
        <f t="shared" si="17"/>
        <v/>
      </c>
      <c r="Y28" s="3" t="str">
        <f t="shared" si="18"/>
        <v/>
      </c>
      <c r="Z28" s="3" t="str">
        <f t="shared" si="19"/>
        <v/>
      </c>
      <c r="AA28" s="3" t="str">
        <f t="shared" si="20"/>
        <v/>
      </c>
      <c r="AB28" s="3" t="str">
        <f t="shared" si="21"/>
        <v/>
      </c>
      <c r="AC28" s="3" t="str">
        <f t="shared" si="22"/>
        <v/>
      </c>
      <c r="AD28" s="3" t="str">
        <f t="shared" si="23"/>
        <v/>
      </c>
      <c r="AE28" s="3" t="str">
        <f t="shared" si="24"/>
        <v/>
      </c>
      <c r="AF28" s="3" t="str">
        <f t="shared" si="25"/>
        <v/>
      </c>
      <c r="AG28" s="3" t="str">
        <f t="shared" si="26"/>
        <v/>
      </c>
      <c r="AH28" s="3" t="str">
        <f t="shared" si="27"/>
        <v/>
      </c>
    </row>
    <row r="29" spans="1:34" ht="23" customHeight="1">
      <c r="A29" t="s">
        <v>36</v>
      </c>
      <c r="B29" t="s">
        <v>66</v>
      </c>
      <c r="C29" t="s">
        <v>50</v>
      </c>
      <c r="D29" s="2">
        <v>46298</v>
      </c>
      <c r="E29" s="2">
        <v>46299</v>
      </c>
      <c r="F29">
        <f t="shared" si="0"/>
        <v>2</v>
      </c>
      <c r="G29">
        <v>100</v>
      </c>
      <c r="H29" t="str">
        <f t="shared" si="1"/>
        <v>Completado</v>
      </c>
      <c r="I29" s="3" t="str">
        <f t="shared" si="2"/>
        <v/>
      </c>
      <c r="J29" s="3" t="str">
        <f t="shared" si="3"/>
        <v/>
      </c>
      <c r="K29" s="3" t="str">
        <f t="shared" si="4"/>
        <v>■</v>
      </c>
      <c r="L29" s="3" t="str">
        <f t="shared" si="5"/>
        <v>■</v>
      </c>
      <c r="M29" s="3" t="str">
        <f t="shared" si="6"/>
        <v/>
      </c>
      <c r="N29" s="3" t="str">
        <f t="shared" si="7"/>
        <v/>
      </c>
      <c r="O29" s="3" t="str">
        <f t="shared" si="8"/>
        <v/>
      </c>
      <c r="P29" s="3" t="str">
        <f t="shared" si="9"/>
        <v/>
      </c>
      <c r="Q29" s="3" t="str">
        <f t="shared" si="10"/>
        <v/>
      </c>
      <c r="R29" s="3" t="str">
        <f t="shared" si="11"/>
        <v/>
      </c>
      <c r="S29" s="3" t="str">
        <f t="shared" si="12"/>
        <v/>
      </c>
      <c r="T29" s="3" t="str">
        <f t="shared" si="13"/>
        <v/>
      </c>
      <c r="U29" s="3" t="str">
        <f t="shared" si="14"/>
        <v/>
      </c>
      <c r="V29" s="3" t="str">
        <f t="shared" si="15"/>
        <v/>
      </c>
      <c r="W29" s="3" t="str">
        <f t="shared" si="16"/>
        <v/>
      </c>
      <c r="X29" s="3" t="str">
        <f t="shared" si="17"/>
        <v/>
      </c>
      <c r="Y29" s="3" t="str">
        <f t="shared" si="18"/>
        <v/>
      </c>
      <c r="Z29" s="3" t="str">
        <f t="shared" si="19"/>
        <v/>
      </c>
      <c r="AA29" s="3" t="str">
        <f t="shared" si="20"/>
        <v/>
      </c>
      <c r="AB29" s="3" t="str">
        <f t="shared" si="21"/>
        <v/>
      </c>
      <c r="AC29" s="3" t="str">
        <f t="shared" si="22"/>
        <v/>
      </c>
      <c r="AD29" s="3" t="str">
        <f t="shared" si="23"/>
        <v/>
      </c>
      <c r="AE29" s="3" t="str">
        <f t="shared" si="24"/>
        <v/>
      </c>
      <c r="AF29" s="3" t="str">
        <f t="shared" si="25"/>
        <v/>
      </c>
      <c r="AG29" s="3" t="str">
        <f t="shared" si="26"/>
        <v/>
      </c>
      <c r="AH29" s="3" t="str">
        <f t="shared" si="27"/>
        <v/>
      </c>
    </row>
    <row r="30" spans="1:34" ht="23" customHeight="1">
      <c r="A30" t="s">
        <v>36</v>
      </c>
      <c r="B30" t="s">
        <v>67</v>
      </c>
      <c r="C30" t="s">
        <v>52</v>
      </c>
      <c r="D30" s="2">
        <v>46298</v>
      </c>
      <c r="E30" s="2">
        <v>46299</v>
      </c>
      <c r="F30">
        <f t="shared" si="0"/>
        <v>2</v>
      </c>
      <c r="G30">
        <v>100</v>
      </c>
      <c r="H30" t="str">
        <f t="shared" si="1"/>
        <v>Completado</v>
      </c>
      <c r="I30" s="3" t="str">
        <f t="shared" si="2"/>
        <v/>
      </c>
      <c r="J30" s="3" t="str">
        <f t="shared" si="3"/>
        <v/>
      </c>
      <c r="K30" s="3" t="str">
        <f t="shared" si="4"/>
        <v>■</v>
      </c>
      <c r="L30" s="3" t="str">
        <f t="shared" si="5"/>
        <v>■</v>
      </c>
      <c r="M30" s="3" t="str">
        <f t="shared" si="6"/>
        <v/>
      </c>
      <c r="N30" s="3" t="str">
        <f t="shared" si="7"/>
        <v/>
      </c>
      <c r="O30" s="3" t="str">
        <f t="shared" si="8"/>
        <v/>
      </c>
      <c r="P30" s="3" t="str">
        <f t="shared" si="9"/>
        <v/>
      </c>
      <c r="Q30" s="3" t="str">
        <f t="shared" si="10"/>
        <v/>
      </c>
      <c r="R30" s="3" t="str">
        <f t="shared" si="11"/>
        <v/>
      </c>
      <c r="S30" s="3" t="str">
        <f t="shared" si="12"/>
        <v/>
      </c>
      <c r="T30" s="3" t="str">
        <f t="shared" si="13"/>
        <v/>
      </c>
      <c r="U30" s="3" t="str">
        <f t="shared" si="14"/>
        <v/>
      </c>
      <c r="V30" s="3" t="str">
        <f t="shared" si="15"/>
        <v/>
      </c>
      <c r="W30" s="3" t="str">
        <f t="shared" si="16"/>
        <v/>
      </c>
      <c r="X30" s="3" t="str">
        <f t="shared" si="17"/>
        <v/>
      </c>
      <c r="Y30" s="3" t="str">
        <f t="shared" si="18"/>
        <v/>
      </c>
      <c r="Z30" s="3" t="str">
        <f t="shared" si="19"/>
        <v/>
      </c>
      <c r="AA30" s="3" t="str">
        <f t="shared" si="20"/>
        <v/>
      </c>
      <c r="AB30" s="3" t="str">
        <f t="shared" si="21"/>
        <v/>
      </c>
      <c r="AC30" s="3" t="str">
        <f t="shared" si="22"/>
        <v/>
      </c>
      <c r="AD30" s="3" t="str">
        <f t="shared" si="23"/>
        <v/>
      </c>
      <c r="AE30" s="3" t="str">
        <f t="shared" si="24"/>
        <v/>
      </c>
      <c r="AF30" s="3" t="str">
        <f t="shared" si="25"/>
        <v/>
      </c>
      <c r="AG30" s="3" t="str">
        <f t="shared" si="26"/>
        <v/>
      </c>
      <c r="AH30" s="3" t="str">
        <f t="shared" si="27"/>
        <v/>
      </c>
    </row>
    <row r="31" spans="1:34" ht="23" customHeight="1">
      <c r="A31" t="s">
        <v>36</v>
      </c>
      <c r="B31" t="s">
        <v>68</v>
      </c>
      <c r="C31" t="s">
        <v>52</v>
      </c>
      <c r="D31" s="2">
        <v>46298</v>
      </c>
      <c r="E31" s="2">
        <v>46299</v>
      </c>
      <c r="F31">
        <f t="shared" si="0"/>
        <v>2</v>
      </c>
      <c r="G31">
        <v>100</v>
      </c>
      <c r="H31" t="str">
        <f t="shared" si="1"/>
        <v>Completado</v>
      </c>
      <c r="I31" s="3" t="str">
        <f t="shared" si="2"/>
        <v/>
      </c>
      <c r="J31" s="3" t="str">
        <f t="shared" si="3"/>
        <v/>
      </c>
      <c r="K31" s="3" t="str">
        <f t="shared" si="4"/>
        <v>■</v>
      </c>
      <c r="L31" s="3" t="str">
        <f t="shared" si="5"/>
        <v>■</v>
      </c>
      <c r="M31" s="3" t="str">
        <f t="shared" si="6"/>
        <v/>
      </c>
      <c r="N31" s="3" t="str">
        <f t="shared" si="7"/>
        <v/>
      </c>
      <c r="O31" s="3" t="str">
        <f t="shared" si="8"/>
        <v/>
      </c>
      <c r="P31" s="3" t="str">
        <f t="shared" si="9"/>
        <v/>
      </c>
      <c r="Q31" s="3" t="str">
        <f t="shared" si="10"/>
        <v/>
      </c>
      <c r="R31" s="3" t="str">
        <f t="shared" si="11"/>
        <v/>
      </c>
      <c r="S31" s="3" t="str">
        <f t="shared" si="12"/>
        <v/>
      </c>
      <c r="T31" s="3" t="str">
        <f t="shared" si="13"/>
        <v/>
      </c>
      <c r="U31" s="3" t="str">
        <f t="shared" si="14"/>
        <v/>
      </c>
      <c r="V31" s="3" t="str">
        <f t="shared" si="15"/>
        <v/>
      </c>
      <c r="W31" s="3" t="str">
        <f t="shared" si="16"/>
        <v/>
      </c>
      <c r="X31" s="3" t="str">
        <f t="shared" si="17"/>
        <v/>
      </c>
      <c r="Y31" s="3" t="str">
        <f t="shared" si="18"/>
        <v/>
      </c>
      <c r="Z31" s="3" t="str">
        <f t="shared" si="19"/>
        <v/>
      </c>
      <c r="AA31" s="3" t="str">
        <f t="shared" si="20"/>
        <v/>
      </c>
      <c r="AB31" s="3" t="str">
        <f t="shared" si="21"/>
        <v/>
      </c>
      <c r="AC31" s="3" t="str">
        <f t="shared" si="22"/>
        <v/>
      </c>
      <c r="AD31" s="3" t="str">
        <f t="shared" si="23"/>
        <v/>
      </c>
      <c r="AE31" s="3" t="str">
        <f t="shared" si="24"/>
        <v/>
      </c>
      <c r="AF31" s="3" t="str">
        <f t="shared" si="25"/>
        <v/>
      </c>
      <c r="AG31" s="3" t="str">
        <f t="shared" si="26"/>
        <v/>
      </c>
      <c r="AH31" s="3" t="str">
        <f t="shared" si="27"/>
        <v/>
      </c>
    </row>
    <row r="32" spans="1:34" ht="23" customHeight="1">
      <c r="A32" t="s">
        <v>36</v>
      </c>
      <c r="B32" t="s">
        <v>69</v>
      </c>
      <c r="C32" t="s">
        <v>70</v>
      </c>
      <c r="D32" s="2">
        <v>46296</v>
      </c>
      <c r="E32" s="2">
        <v>46299</v>
      </c>
      <c r="F32">
        <f t="shared" si="0"/>
        <v>4</v>
      </c>
      <c r="G32">
        <v>100</v>
      </c>
      <c r="H32" t="str">
        <f t="shared" si="1"/>
        <v>Completado</v>
      </c>
      <c r="I32" s="3" t="str">
        <f t="shared" si="2"/>
        <v>■</v>
      </c>
      <c r="J32" s="3" t="str">
        <f t="shared" si="3"/>
        <v>■</v>
      </c>
      <c r="K32" s="3" t="str">
        <f t="shared" si="4"/>
        <v>■</v>
      </c>
      <c r="L32" s="3" t="str">
        <f t="shared" si="5"/>
        <v>■</v>
      </c>
      <c r="M32" s="3" t="str">
        <f t="shared" si="6"/>
        <v/>
      </c>
      <c r="N32" s="3" t="str">
        <f t="shared" si="7"/>
        <v/>
      </c>
      <c r="O32" s="3" t="str">
        <f t="shared" si="8"/>
        <v/>
      </c>
      <c r="P32" s="3" t="str">
        <f t="shared" si="9"/>
        <v/>
      </c>
      <c r="Q32" s="3" t="str">
        <f t="shared" si="10"/>
        <v/>
      </c>
      <c r="R32" s="3" t="str">
        <f t="shared" si="11"/>
        <v/>
      </c>
      <c r="S32" s="3" t="str">
        <f t="shared" si="12"/>
        <v/>
      </c>
      <c r="T32" s="3" t="str">
        <f t="shared" si="13"/>
        <v/>
      </c>
      <c r="U32" s="3" t="str">
        <f t="shared" si="14"/>
        <v/>
      </c>
      <c r="V32" s="3" t="str">
        <f t="shared" si="15"/>
        <v/>
      </c>
      <c r="W32" s="3" t="str">
        <f t="shared" si="16"/>
        <v/>
      </c>
      <c r="X32" s="3" t="str">
        <f t="shared" si="17"/>
        <v/>
      </c>
      <c r="Y32" s="3" t="str">
        <f t="shared" si="18"/>
        <v/>
      </c>
      <c r="Z32" s="3" t="str">
        <f t="shared" si="19"/>
        <v/>
      </c>
      <c r="AA32" s="3" t="str">
        <f t="shared" si="20"/>
        <v/>
      </c>
      <c r="AB32" s="3" t="str">
        <f t="shared" si="21"/>
        <v/>
      </c>
      <c r="AC32" s="3" t="str">
        <f t="shared" si="22"/>
        <v/>
      </c>
      <c r="AD32" s="3" t="str">
        <f t="shared" si="23"/>
        <v/>
      </c>
      <c r="AE32" s="3" t="str">
        <f t="shared" si="24"/>
        <v/>
      </c>
      <c r="AF32" s="3" t="str">
        <f t="shared" si="25"/>
        <v/>
      </c>
      <c r="AG32" s="3" t="str">
        <f t="shared" si="26"/>
        <v/>
      </c>
      <c r="AH32" s="3" t="str">
        <f t="shared" si="27"/>
        <v/>
      </c>
    </row>
    <row r="33" spans="1:34" ht="23" customHeight="1">
      <c r="A33" t="s">
        <v>36</v>
      </c>
      <c r="B33" t="s">
        <v>71</v>
      </c>
      <c r="C33" t="s">
        <v>38</v>
      </c>
      <c r="D33" s="2">
        <v>46299</v>
      </c>
      <c r="E33" s="2">
        <v>46299</v>
      </c>
      <c r="F33">
        <f t="shared" si="0"/>
        <v>1</v>
      </c>
      <c r="G33">
        <v>100</v>
      </c>
      <c r="H33" t="str">
        <f t="shared" si="1"/>
        <v>Completado</v>
      </c>
      <c r="I33" s="3" t="str">
        <f t="shared" si="2"/>
        <v/>
      </c>
      <c r="J33" s="3" t="str">
        <f t="shared" si="3"/>
        <v/>
      </c>
      <c r="K33" s="3" t="str">
        <f t="shared" si="4"/>
        <v/>
      </c>
      <c r="L33" s="3" t="str">
        <f t="shared" si="5"/>
        <v>■</v>
      </c>
      <c r="M33" s="3" t="str">
        <f t="shared" si="6"/>
        <v/>
      </c>
      <c r="N33" s="3" t="str">
        <f t="shared" si="7"/>
        <v/>
      </c>
      <c r="O33" s="3" t="str">
        <f t="shared" si="8"/>
        <v/>
      </c>
      <c r="P33" s="3" t="str">
        <f t="shared" si="9"/>
        <v/>
      </c>
      <c r="Q33" s="3" t="str">
        <f t="shared" si="10"/>
        <v/>
      </c>
      <c r="R33" s="3" t="str">
        <f t="shared" si="11"/>
        <v/>
      </c>
      <c r="S33" s="3" t="str">
        <f t="shared" si="12"/>
        <v/>
      </c>
      <c r="T33" s="3" t="str">
        <f t="shared" si="13"/>
        <v/>
      </c>
      <c r="U33" s="3" t="str">
        <f t="shared" si="14"/>
        <v/>
      </c>
      <c r="V33" s="3" t="str">
        <f t="shared" si="15"/>
        <v/>
      </c>
      <c r="W33" s="3" t="str">
        <f t="shared" si="16"/>
        <v/>
      </c>
      <c r="X33" s="3" t="str">
        <f t="shared" si="17"/>
        <v/>
      </c>
      <c r="Y33" s="3" t="str">
        <f t="shared" si="18"/>
        <v/>
      </c>
      <c r="Z33" s="3" t="str">
        <f t="shared" si="19"/>
        <v/>
      </c>
      <c r="AA33" s="3" t="str">
        <f t="shared" si="20"/>
        <v/>
      </c>
      <c r="AB33" s="3" t="str">
        <f t="shared" si="21"/>
        <v/>
      </c>
      <c r="AC33" s="3" t="str">
        <f t="shared" si="22"/>
        <v/>
      </c>
      <c r="AD33" s="3" t="str">
        <f t="shared" si="23"/>
        <v/>
      </c>
      <c r="AE33" s="3" t="str">
        <f t="shared" si="24"/>
        <v/>
      </c>
      <c r="AF33" s="3" t="str">
        <f t="shared" si="25"/>
        <v/>
      </c>
      <c r="AG33" s="3" t="str">
        <f t="shared" si="26"/>
        <v/>
      </c>
      <c r="AH33" s="3" t="str">
        <f t="shared" si="27"/>
        <v/>
      </c>
    </row>
    <row r="34" spans="1:34" ht="23" customHeight="1">
      <c r="A34" t="s">
        <v>36</v>
      </c>
      <c r="B34" t="s">
        <v>72</v>
      </c>
      <c r="C34" t="s">
        <v>70</v>
      </c>
      <c r="D34" s="2">
        <v>46296</v>
      </c>
      <c r="E34" s="2">
        <v>46299</v>
      </c>
      <c r="F34">
        <f t="shared" si="0"/>
        <v>4</v>
      </c>
      <c r="G34">
        <v>100</v>
      </c>
      <c r="H34" t="str">
        <f t="shared" si="1"/>
        <v>Completado</v>
      </c>
      <c r="I34" s="3" t="str">
        <f t="shared" si="2"/>
        <v>■</v>
      </c>
      <c r="J34" s="3" t="str">
        <f t="shared" si="3"/>
        <v>■</v>
      </c>
      <c r="K34" s="3" t="str">
        <f t="shared" si="4"/>
        <v>■</v>
      </c>
      <c r="L34" s="3" t="str">
        <f t="shared" si="5"/>
        <v>■</v>
      </c>
      <c r="M34" s="3" t="str">
        <f t="shared" si="6"/>
        <v/>
      </c>
      <c r="N34" s="3" t="str">
        <f t="shared" si="7"/>
        <v/>
      </c>
      <c r="O34" s="3" t="str">
        <f t="shared" si="8"/>
        <v/>
      </c>
      <c r="P34" s="3" t="str">
        <f t="shared" si="9"/>
        <v/>
      </c>
      <c r="Q34" s="3" t="str">
        <f t="shared" si="10"/>
        <v/>
      </c>
      <c r="R34" s="3" t="str">
        <f t="shared" si="11"/>
        <v/>
      </c>
      <c r="S34" s="3" t="str">
        <f t="shared" si="12"/>
        <v/>
      </c>
      <c r="T34" s="3" t="str">
        <f t="shared" si="13"/>
        <v/>
      </c>
      <c r="U34" s="3" t="str">
        <f t="shared" si="14"/>
        <v/>
      </c>
      <c r="V34" s="3" t="str">
        <f t="shared" si="15"/>
        <v/>
      </c>
      <c r="W34" s="3" t="str">
        <f t="shared" si="16"/>
        <v/>
      </c>
      <c r="X34" s="3" t="str">
        <f t="shared" si="17"/>
        <v/>
      </c>
      <c r="Y34" s="3" t="str">
        <f t="shared" si="18"/>
        <v/>
      </c>
      <c r="Z34" s="3" t="str">
        <f t="shared" si="19"/>
        <v/>
      </c>
      <c r="AA34" s="3" t="str">
        <f t="shared" si="20"/>
        <v/>
      </c>
      <c r="AB34" s="3" t="str">
        <f t="shared" si="21"/>
        <v/>
      </c>
      <c r="AC34" s="3" t="str">
        <f t="shared" si="22"/>
        <v/>
      </c>
      <c r="AD34" s="3" t="str">
        <f t="shared" si="23"/>
        <v/>
      </c>
      <c r="AE34" s="3" t="str">
        <f t="shared" si="24"/>
        <v/>
      </c>
      <c r="AF34" s="3" t="str">
        <f t="shared" si="25"/>
        <v/>
      </c>
      <c r="AG34" s="3" t="str">
        <f t="shared" si="26"/>
        <v/>
      </c>
      <c r="AH34" s="3" t="str">
        <f t="shared" si="27"/>
        <v/>
      </c>
    </row>
    <row r="35" spans="1:34" ht="23" customHeight="1">
      <c r="A35" t="s">
        <v>36</v>
      </c>
      <c r="B35" t="s">
        <v>73</v>
      </c>
      <c r="C35" t="s">
        <v>70</v>
      </c>
      <c r="D35" s="2">
        <v>46299</v>
      </c>
      <c r="E35" s="2">
        <v>46300</v>
      </c>
      <c r="F35">
        <f t="shared" si="0"/>
        <v>2</v>
      </c>
      <c r="G35">
        <v>100</v>
      </c>
      <c r="H35" t="str">
        <f t="shared" si="1"/>
        <v>Completado</v>
      </c>
      <c r="I35" s="3" t="str">
        <f t="shared" si="2"/>
        <v/>
      </c>
      <c r="J35" s="3" t="str">
        <f t="shared" si="3"/>
        <v/>
      </c>
      <c r="K35" s="3" t="str">
        <f t="shared" si="4"/>
        <v/>
      </c>
      <c r="L35" s="3" t="str">
        <f t="shared" si="5"/>
        <v>■</v>
      </c>
      <c r="M35" s="3" t="str">
        <f t="shared" si="6"/>
        <v>■</v>
      </c>
      <c r="N35" s="3" t="str">
        <f t="shared" si="7"/>
        <v/>
      </c>
      <c r="O35" s="3" t="str">
        <f t="shared" si="8"/>
        <v/>
      </c>
      <c r="P35" s="3" t="str">
        <f t="shared" si="9"/>
        <v/>
      </c>
      <c r="Q35" s="3" t="str">
        <f t="shared" si="10"/>
        <v/>
      </c>
      <c r="R35" s="3" t="str">
        <f t="shared" si="11"/>
        <v/>
      </c>
      <c r="S35" s="3" t="str">
        <f t="shared" si="12"/>
        <v/>
      </c>
      <c r="T35" s="3" t="str">
        <f t="shared" si="13"/>
        <v/>
      </c>
      <c r="U35" s="3" t="str">
        <f t="shared" si="14"/>
        <v/>
      </c>
      <c r="V35" s="3" t="str">
        <f t="shared" si="15"/>
        <v/>
      </c>
      <c r="W35" s="3" t="str">
        <f t="shared" si="16"/>
        <v/>
      </c>
      <c r="X35" s="3" t="str">
        <f t="shared" si="17"/>
        <v/>
      </c>
      <c r="Y35" s="3" t="str">
        <f t="shared" si="18"/>
        <v/>
      </c>
      <c r="Z35" s="3" t="str">
        <f t="shared" si="19"/>
        <v/>
      </c>
      <c r="AA35" s="3" t="str">
        <f t="shared" si="20"/>
        <v/>
      </c>
      <c r="AB35" s="3" t="str">
        <f t="shared" si="21"/>
        <v/>
      </c>
      <c r="AC35" s="3" t="str">
        <f t="shared" si="22"/>
        <v/>
      </c>
      <c r="AD35" s="3" t="str">
        <f t="shared" si="23"/>
        <v/>
      </c>
      <c r="AE35" s="3" t="str">
        <f t="shared" si="24"/>
        <v/>
      </c>
      <c r="AF35" s="3" t="str">
        <f t="shared" si="25"/>
        <v/>
      </c>
      <c r="AG35" s="3" t="str">
        <f t="shared" si="26"/>
        <v/>
      </c>
      <c r="AH35" s="3" t="str">
        <f t="shared" si="27"/>
        <v/>
      </c>
    </row>
    <row r="36" spans="1:34" ht="23" customHeight="1">
      <c r="A36" t="s">
        <v>36</v>
      </c>
      <c r="B36" t="s">
        <v>74</v>
      </c>
      <c r="C36" t="s">
        <v>55</v>
      </c>
      <c r="D36" s="2">
        <v>46299</v>
      </c>
      <c r="E36" s="2">
        <v>46300</v>
      </c>
      <c r="F36">
        <f t="shared" si="0"/>
        <v>2</v>
      </c>
      <c r="G36">
        <v>100</v>
      </c>
      <c r="H36" t="str">
        <f t="shared" si="1"/>
        <v>Completado</v>
      </c>
      <c r="I36" s="3" t="str">
        <f t="shared" si="2"/>
        <v/>
      </c>
      <c r="J36" s="3" t="str">
        <f t="shared" si="3"/>
        <v/>
      </c>
      <c r="K36" s="3" t="str">
        <f t="shared" si="4"/>
        <v/>
      </c>
      <c r="L36" s="3" t="str">
        <f t="shared" si="5"/>
        <v>■</v>
      </c>
      <c r="M36" s="3" t="str">
        <f t="shared" si="6"/>
        <v>■</v>
      </c>
      <c r="N36" s="3" t="str">
        <f t="shared" si="7"/>
        <v/>
      </c>
      <c r="O36" s="3" t="str">
        <f t="shared" si="8"/>
        <v/>
      </c>
      <c r="P36" s="3" t="str">
        <f t="shared" si="9"/>
        <v/>
      </c>
      <c r="Q36" s="3" t="str">
        <f t="shared" si="10"/>
        <v/>
      </c>
      <c r="R36" s="3" t="str">
        <f t="shared" si="11"/>
        <v/>
      </c>
      <c r="S36" s="3" t="str">
        <f t="shared" si="12"/>
        <v/>
      </c>
      <c r="T36" s="3" t="str">
        <f t="shared" si="13"/>
        <v/>
      </c>
      <c r="U36" s="3" t="str">
        <f t="shared" si="14"/>
        <v/>
      </c>
      <c r="V36" s="3" t="str">
        <f t="shared" si="15"/>
        <v/>
      </c>
      <c r="W36" s="3" t="str">
        <f t="shared" si="16"/>
        <v/>
      </c>
      <c r="X36" s="3" t="str">
        <f t="shared" si="17"/>
        <v/>
      </c>
      <c r="Y36" s="3" t="str">
        <f t="shared" si="18"/>
        <v/>
      </c>
      <c r="Z36" s="3" t="str">
        <f t="shared" si="19"/>
        <v/>
      </c>
      <c r="AA36" s="3" t="str">
        <f t="shared" si="20"/>
        <v/>
      </c>
      <c r="AB36" s="3" t="str">
        <f t="shared" si="21"/>
        <v/>
      </c>
      <c r="AC36" s="3" t="str">
        <f t="shared" si="22"/>
        <v/>
      </c>
      <c r="AD36" s="3" t="str">
        <f t="shared" si="23"/>
        <v/>
      </c>
      <c r="AE36" s="3" t="str">
        <f t="shared" si="24"/>
        <v/>
      </c>
      <c r="AF36" s="3" t="str">
        <f t="shared" si="25"/>
        <v/>
      </c>
      <c r="AG36" s="3" t="str">
        <f t="shared" si="26"/>
        <v/>
      </c>
      <c r="AH36" s="3" t="str">
        <f t="shared" si="27"/>
        <v/>
      </c>
    </row>
    <row r="37" spans="1:34" ht="23" customHeight="1">
      <c r="A37" t="s">
        <v>36</v>
      </c>
      <c r="B37" t="s">
        <v>75</v>
      </c>
      <c r="C37" t="s">
        <v>38</v>
      </c>
      <c r="D37" s="2">
        <v>46299</v>
      </c>
      <c r="E37" s="2">
        <v>46300</v>
      </c>
      <c r="F37">
        <f t="shared" si="0"/>
        <v>2</v>
      </c>
      <c r="G37">
        <v>100</v>
      </c>
      <c r="H37" t="str">
        <f t="shared" si="1"/>
        <v>Completado</v>
      </c>
      <c r="I37" s="3" t="str">
        <f t="shared" si="2"/>
        <v/>
      </c>
      <c r="J37" s="3" t="str">
        <f t="shared" si="3"/>
        <v/>
      </c>
      <c r="K37" s="3" t="str">
        <f t="shared" si="4"/>
        <v/>
      </c>
      <c r="L37" s="3" t="str">
        <f t="shared" si="5"/>
        <v>■</v>
      </c>
      <c r="M37" s="3" t="str">
        <f t="shared" si="6"/>
        <v>■</v>
      </c>
      <c r="N37" s="3" t="str">
        <f t="shared" si="7"/>
        <v/>
      </c>
      <c r="O37" s="3" t="str">
        <f t="shared" si="8"/>
        <v/>
      </c>
      <c r="P37" s="3" t="str">
        <f t="shared" si="9"/>
        <v/>
      </c>
      <c r="Q37" s="3" t="str">
        <f t="shared" si="10"/>
        <v/>
      </c>
      <c r="R37" s="3" t="str">
        <f t="shared" si="11"/>
        <v/>
      </c>
      <c r="S37" s="3" t="str">
        <f t="shared" si="12"/>
        <v/>
      </c>
      <c r="T37" s="3" t="str">
        <f t="shared" si="13"/>
        <v/>
      </c>
      <c r="U37" s="3" t="str">
        <f t="shared" si="14"/>
        <v/>
      </c>
      <c r="V37" s="3" t="str">
        <f t="shared" si="15"/>
        <v/>
      </c>
      <c r="W37" s="3" t="str">
        <f t="shared" si="16"/>
        <v/>
      </c>
      <c r="X37" s="3" t="str">
        <f t="shared" si="17"/>
        <v/>
      </c>
      <c r="Y37" s="3" t="str">
        <f t="shared" si="18"/>
        <v/>
      </c>
      <c r="Z37" s="3" t="str">
        <f t="shared" si="19"/>
        <v/>
      </c>
      <c r="AA37" s="3" t="str">
        <f t="shared" si="20"/>
        <v/>
      </c>
      <c r="AB37" s="3" t="str">
        <f t="shared" si="21"/>
        <v/>
      </c>
      <c r="AC37" s="3" t="str">
        <f t="shared" si="22"/>
        <v/>
      </c>
      <c r="AD37" s="3" t="str">
        <f t="shared" si="23"/>
        <v/>
      </c>
      <c r="AE37" s="3" t="str">
        <f t="shared" si="24"/>
        <v/>
      </c>
      <c r="AF37" s="3" t="str">
        <f t="shared" si="25"/>
        <v/>
      </c>
      <c r="AG37" s="3" t="str">
        <f t="shared" si="26"/>
        <v/>
      </c>
      <c r="AH37" s="3" t="str">
        <f t="shared" si="27"/>
        <v/>
      </c>
    </row>
    <row r="38" spans="1:34" ht="23" customHeight="1">
      <c r="A38" s="6" t="s">
        <v>36</v>
      </c>
      <c r="B38" s="6" t="s">
        <v>76</v>
      </c>
      <c r="C38" s="6" t="s">
        <v>38</v>
      </c>
      <c r="D38" s="7">
        <v>46300</v>
      </c>
      <c r="E38" s="7">
        <v>46300</v>
      </c>
      <c r="F38" s="6">
        <f t="shared" si="0"/>
        <v>1</v>
      </c>
      <c r="G38" s="6">
        <v>100</v>
      </c>
      <c r="H38" s="6" t="str">
        <f t="shared" si="1"/>
        <v>Completado</v>
      </c>
      <c r="I38" s="3" t="str">
        <f t="shared" si="2"/>
        <v/>
      </c>
      <c r="J38" s="3" t="str">
        <f t="shared" si="3"/>
        <v/>
      </c>
      <c r="K38" s="3" t="str">
        <f t="shared" si="4"/>
        <v/>
      </c>
      <c r="L38" s="3" t="str">
        <f t="shared" si="5"/>
        <v/>
      </c>
      <c r="M38" s="3" t="str">
        <f t="shared" si="6"/>
        <v>■</v>
      </c>
      <c r="N38" s="3" t="str">
        <f t="shared" si="7"/>
        <v/>
      </c>
      <c r="O38" s="3" t="str">
        <f t="shared" si="8"/>
        <v/>
      </c>
      <c r="P38" s="3" t="str">
        <f t="shared" si="9"/>
        <v/>
      </c>
      <c r="Q38" s="3" t="str">
        <f t="shared" si="10"/>
        <v/>
      </c>
      <c r="R38" s="3" t="str">
        <f t="shared" si="11"/>
        <v/>
      </c>
      <c r="S38" s="3" t="str">
        <f t="shared" si="12"/>
        <v/>
      </c>
      <c r="T38" s="3" t="str">
        <f t="shared" si="13"/>
        <v/>
      </c>
      <c r="U38" s="3" t="str">
        <f t="shared" si="14"/>
        <v/>
      </c>
      <c r="V38" s="3" t="str">
        <f t="shared" si="15"/>
        <v/>
      </c>
      <c r="W38" s="3" t="str">
        <f t="shared" si="16"/>
        <v/>
      </c>
      <c r="X38" s="3" t="str">
        <f t="shared" si="17"/>
        <v/>
      </c>
      <c r="Y38" s="3" t="str">
        <f t="shared" si="18"/>
        <v/>
      </c>
      <c r="Z38" s="3" t="str">
        <f t="shared" si="19"/>
        <v/>
      </c>
      <c r="AA38" s="3" t="str">
        <f t="shared" si="20"/>
        <v/>
      </c>
      <c r="AB38" s="3" t="str">
        <f t="shared" si="21"/>
        <v/>
      </c>
      <c r="AC38" s="3" t="str">
        <f t="shared" si="22"/>
        <v/>
      </c>
      <c r="AD38" s="3" t="str">
        <f t="shared" si="23"/>
        <v/>
      </c>
      <c r="AE38" s="3" t="str">
        <f t="shared" si="24"/>
        <v/>
      </c>
      <c r="AF38" s="3" t="str">
        <f t="shared" si="25"/>
        <v/>
      </c>
      <c r="AG38" s="3" t="str">
        <f t="shared" si="26"/>
        <v/>
      </c>
      <c r="AH38" s="3" t="str">
        <f t="shared" si="27"/>
        <v/>
      </c>
    </row>
    <row r="39" spans="1:34" ht="23" customHeight="1">
      <c r="A39" s="6" t="s">
        <v>36</v>
      </c>
      <c r="B39" s="6" t="s">
        <v>116</v>
      </c>
      <c r="C39" s="6" t="s">
        <v>111</v>
      </c>
      <c r="D39" s="7">
        <v>46303</v>
      </c>
      <c r="E39" s="7">
        <v>46303</v>
      </c>
      <c r="F39" s="6">
        <f t="shared" si="0"/>
        <v>1</v>
      </c>
      <c r="G39" s="6">
        <v>100</v>
      </c>
      <c r="H39" s="6" t="str">
        <f t="shared" si="1"/>
        <v>Completado</v>
      </c>
      <c r="I39" s="3" t="str">
        <f t="shared" si="2"/>
        <v/>
      </c>
      <c r="J39" s="3" t="str">
        <f t="shared" si="3"/>
        <v/>
      </c>
      <c r="K39" s="3" t="str">
        <f t="shared" si="4"/>
        <v/>
      </c>
      <c r="L39" s="3" t="str">
        <f t="shared" si="5"/>
        <v/>
      </c>
      <c r="M39" s="3" t="str">
        <f t="shared" si="6"/>
        <v/>
      </c>
      <c r="N39" s="3" t="str">
        <f t="shared" si="7"/>
        <v/>
      </c>
      <c r="O39" s="3" t="str">
        <f t="shared" si="8"/>
        <v/>
      </c>
      <c r="P39" s="3" t="str">
        <f t="shared" si="9"/>
        <v>■</v>
      </c>
      <c r="Q39" s="3" t="str">
        <f t="shared" si="10"/>
        <v/>
      </c>
      <c r="R39" s="3" t="str">
        <f t="shared" si="11"/>
        <v/>
      </c>
      <c r="S39" s="3" t="str">
        <f t="shared" si="12"/>
        <v/>
      </c>
      <c r="T39" s="3" t="str">
        <f t="shared" si="13"/>
        <v/>
      </c>
      <c r="U39" s="3" t="str">
        <f t="shared" si="14"/>
        <v/>
      </c>
      <c r="V39" s="3" t="str">
        <f t="shared" si="15"/>
        <v/>
      </c>
      <c r="W39" s="3" t="str">
        <f t="shared" si="16"/>
        <v/>
      </c>
      <c r="X39" s="3" t="str">
        <f t="shared" si="17"/>
        <v/>
      </c>
      <c r="Y39" s="3" t="str">
        <f t="shared" si="18"/>
        <v/>
      </c>
      <c r="Z39" s="3" t="str">
        <f t="shared" si="19"/>
        <v/>
      </c>
      <c r="AA39" s="3" t="str">
        <f t="shared" si="20"/>
        <v/>
      </c>
      <c r="AB39" s="3" t="str">
        <f t="shared" si="21"/>
        <v/>
      </c>
      <c r="AC39" s="3" t="str">
        <f t="shared" si="22"/>
        <v/>
      </c>
      <c r="AD39" s="3" t="str">
        <f t="shared" si="23"/>
        <v/>
      </c>
      <c r="AE39" s="3" t="str">
        <f t="shared" si="24"/>
        <v/>
      </c>
      <c r="AF39" s="3" t="str">
        <f t="shared" si="25"/>
        <v/>
      </c>
      <c r="AG39" s="3" t="str">
        <f t="shared" si="26"/>
        <v/>
      </c>
      <c r="AH39" s="3" t="str">
        <f t="shared" si="27"/>
        <v/>
      </c>
    </row>
    <row r="40" spans="1:34" ht="34" customHeight="1">
      <c r="A40" s="8" t="s">
        <v>77</v>
      </c>
      <c r="B40" s="10" t="s">
        <v>78</v>
      </c>
      <c r="C40" s="10" t="s">
        <v>79</v>
      </c>
      <c r="D40" s="9">
        <v>46305</v>
      </c>
      <c r="E40" s="9">
        <v>46306</v>
      </c>
      <c r="F40" s="8">
        <f t="shared" ref="F40:F71" si="28">E40-D40+1</f>
        <v>2</v>
      </c>
      <c r="G40" s="8">
        <v>0</v>
      </c>
      <c r="H40" s="8" t="str">
        <f t="shared" ref="H40:H71" si="29">IF(G40=100,"Completado",IF(G40=0,"Pendiente","En progreso"))</f>
        <v>Pendiente</v>
      </c>
      <c r="I40" s="3" t="str">
        <f t="shared" ref="I40:I63" si="30">IF(AND(DATE(2026,10,1)&gt;=$D40,DATE(2026,10,1)&lt;=$E40),IF($G40=100,"■","▰"),"")</f>
        <v/>
      </c>
      <c r="J40" s="3" t="str">
        <f t="shared" ref="J40:J63" si="31">IF(AND(DATE(2026,10,2)&gt;=$D40,DATE(2026,10,2)&lt;=$E40),IF($G40=100,"■","▰"),"")</f>
        <v/>
      </c>
      <c r="K40" s="3" t="str">
        <f t="shared" ref="K40:K63" si="32">IF(AND(DATE(2026,10,3)&gt;=$D40,DATE(2026,10,3)&lt;=$E40),IF($G40=100,"■","▰"),"")</f>
        <v/>
      </c>
      <c r="L40" s="3" t="str">
        <f t="shared" ref="L40:L63" si="33">IF(AND(DATE(2026,10,4)&gt;=$D40,DATE(2026,10,4)&lt;=$E40),IF($G40=100,"■","▰"),"")</f>
        <v/>
      </c>
      <c r="M40" s="3" t="str">
        <f t="shared" ref="M40:M63" si="34">IF(AND(DATE(2026,10,5)&gt;=$D40,DATE(2026,10,5)&lt;=$E40),IF($G40=100,"■","▰"),"")</f>
        <v/>
      </c>
      <c r="N40" s="3" t="str">
        <f t="shared" ref="N40:N63" si="35">IF(AND(DATE(2026,10,6)&gt;=$D40,DATE(2026,10,6)&lt;=$E40),IF($G40=100,"■","▰"),"")</f>
        <v/>
      </c>
      <c r="O40" s="3" t="str">
        <f t="shared" ref="O40:O63" si="36">IF(AND(DATE(2026,10,7)&gt;=$D40,DATE(2026,10,7)&lt;=$E40),IF($G40=100,"■","▰"),"")</f>
        <v/>
      </c>
      <c r="P40" s="3" t="str">
        <f t="shared" ref="P40:P63" si="37">IF(AND(DATE(2026,10,8)&gt;=$D40,DATE(2026,10,8)&lt;=$E40),IF($G40=100,"■","▰"),"")</f>
        <v/>
      </c>
      <c r="Q40" s="3" t="str">
        <f t="shared" ref="Q40:Q63" si="38">IF(AND(DATE(2026,10,9)&gt;=$D40,DATE(2026,10,9)&lt;=$E40),IF($G40=100,"■","▰"),"")</f>
        <v/>
      </c>
      <c r="R40" s="3" t="str">
        <f t="shared" ref="R40:R63" si="39">IF(AND(DATE(2026,10,10)&gt;=$D40,DATE(2026,10,10)&lt;=$E40),IF($G40=100,"■","▰"),"")</f>
        <v>▰</v>
      </c>
      <c r="S40" s="3" t="str">
        <f t="shared" ref="S40:S63" si="40">IF(AND(DATE(2026,10,11)&gt;=$D40,DATE(2026,10,11)&lt;=$E40),IF($G40=100,"■","▰"),"")</f>
        <v>▰</v>
      </c>
      <c r="T40" s="3" t="str">
        <f t="shared" ref="T40:T63" si="41">IF(AND(DATE(2026,10,12)&gt;=$D40,DATE(2026,10,12)&lt;=$E40),IF($G40=100,"■","▰"),"")</f>
        <v/>
      </c>
      <c r="U40" s="3" t="str">
        <f t="shared" ref="U40:U63" si="42">IF(AND(DATE(2026,10,13)&gt;=$D40,DATE(2026,10,13)&lt;=$E40),IF($G40=100,"■","▰"),"")</f>
        <v/>
      </c>
      <c r="V40" s="3" t="str">
        <f t="shared" ref="V40:V63" si="43">IF(AND(DATE(2026,10,14)&gt;=$D40,DATE(2026,10,14)&lt;=$E40),IF($G40=100,"■","▰"),"")</f>
        <v/>
      </c>
      <c r="W40" s="3" t="str">
        <f t="shared" ref="W40:W63" si="44">IF(AND(DATE(2026,10,15)&gt;=$D40,DATE(2026,10,15)&lt;=$E40),IF($G40=100,"■","▰"),"")</f>
        <v/>
      </c>
      <c r="X40" s="3" t="str">
        <f t="shared" ref="X40:X63" si="45">IF(AND(DATE(2026,10,16)&gt;=$D40,DATE(2026,10,16)&lt;=$E40),IF($G40=100,"■","▰"),"")</f>
        <v/>
      </c>
      <c r="Y40" s="3" t="str">
        <f t="shared" ref="Y40:Y63" si="46">IF(AND(DATE(2026,10,17)&gt;=$D40,DATE(2026,10,17)&lt;=$E40),IF($G40=100,"■","▰"),"")</f>
        <v/>
      </c>
      <c r="Z40" s="3" t="str">
        <f t="shared" ref="Z40:Z63" si="47">IF(AND(DATE(2026,10,18)&gt;=$D40,DATE(2026,10,18)&lt;=$E40),IF($G40=100,"■","▰"),"")</f>
        <v/>
      </c>
      <c r="AA40" s="3" t="str">
        <f t="shared" ref="AA40:AA63" si="48">IF(AND(DATE(2026,10,19)&gt;=$D40,DATE(2026,10,19)&lt;=$E40),IF($G40=100,"■","▰"),"")</f>
        <v/>
      </c>
      <c r="AB40" s="3" t="str">
        <f t="shared" ref="AB40:AB63" si="49">IF(AND(DATE(2026,10,20)&gt;=$D40,DATE(2026,10,20)&lt;=$E40),IF($G40=100,"■","▰"),"")</f>
        <v/>
      </c>
      <c r="AC40" s="3" t="str">
        <f t="shared" ref="AC40:AC63" si="50">IF(AND(DATE(2026,10,21)&gt;=$D40,DATE(2026,10,21)&lt;=$E40),IF($G40=100,"■","▰"),"")</f>
        <v/>
      </c>
      <c r="AD40" s="3" t="str">
        <f t="shared" ref="AD40:AD63" si="51">IF(AND(DATE(2026,10,22)&gt;=$D40,DATE(2026,10,22)&lt;=$E40),IF($G40=100,"■","▰"),"")</f>
        <v/>
      </c>
      <c r="AE40" s="3" t="str">
        <f t="shared" ref="AE40:AE63" si="52">IF(AND(DATE(2026,10,23)&gt;=$D40,DATE(2026,10,23)&lt;=$E40),IF($G40=100,"■","▰"),"")</f>
        <v/>
      </c>
      <c r="AF40" s="3" t="str">
        <f t="shared" ref="AF40:AF63" si="53">IF(AND(DATE(2026,10,24)&gt;=$D40,DATE(2026,10,24)&lt;=$E40),IF($G40=100,"■","▰"),"")</f>
        <v/>
      </c>
      <c r="AG40" s="3" t="str">
        <f t="shared" ref="AG40:AG63" si="54">IF(AND(DATE(2026,10,25)&gt;=$D40,DATE(2026,10,25)&lt;=$E40),IF($G40=100,"■","▰"),"")</f>
        <v/>
      </c>
      <c r="AH40" s="3" t="str">
        <f t="shared" ref="AH40:AH63" si="55">IF(AND(DATE(2026,10,26)&gt;=$D40,DATE(2026,10,26)&lt;=$E40),IF($G40=100,"■","▰"),"")</f>
        <v/>
      </c>
    </row>
    <row r="41" spans="1:34" ht="34" customHeight="1">
      <c r="A41" s="11" t="s">
        <v>77</v>
      </c>
      <c r="B41" s="13" t="s">
        <v>80</v>
      </c>
      <c r="C41" s="13" t="s">
        <v>81</v>
      </c>
      <c r="D41" s="12">
        <v>46305</v>
      </c>
      <c r="E41" s="12">
        <v>46307</v>
      </c>
      <c r="F41" s="11">
        <f t="shared" si="28"/>
        <v>3</v>
      </c>
      <c r="G41" s="11">
        <v>0</v>
      </c>
      <c r="H41" s="11" t="str">
        <f t="shared" si="29"/>
        <v>Pendiente</v>
      </c>
      <c r="I41" s="3" t="str">
        <f t="shared" si="30"/>
        <v/>
      </c>
      <c r="J41" s="3" t="str">
        <f t="shared" si="31"/>
        <v/>
      </c>
      <c r="K41" s="3" t="str">
        <f t="shared" si="32"/>
        <v/>
      </c>
      <c r="L41" s="3" t="str">
        <f t="shared" si="33"/>
        <v/>
      </c>
      <c r="M41" s="3" t="str">
        <f t="shared" si="34"/>
        <v/>
      </c>
      <c r="N41" s="3" t="str">
        <f t="shared" si="35"/>
        <v/>
      </c>
      <c r="O41" s="3" t="str">
        <f t="shared" si="36"/>
        <v/>
      </c>
      <c r="P41" s="3" t="str">
        <f t="shared" si="37"/>
        <v/>
      </c>
      <c r="Q41" s="3" t="str">
        <f t="shared" si="38"/>
        <v/>
      </c>
      <c r="R41" s="3" t="str">
        <f t="shared" si="39"/>
        <v>▰</v>
      </c>
      <c r="S41" s="3" t="str">
        <f t="shared" si="40"/>
        <v>▰</v>
      </c>
      <c r="T41" s="3" t="str">
        <f t="shared" si="41"/>
        <v>▰</v>
      </c>
      <c r="U41" s="3" t="str">
        <f t="shared" si="42"/>
        <v/>
      </c>
      <c r="V41" s="3" t="str">
        <f t="shared" si="43"/>
        <v/>
      </c>
      <c r="W41" s="3" t="str">
        <f t="shared" si="44"/>
        <v/>
      </c>
      <c r="X41" s="3" t="str">
        <f t="shared" si="45"/>
        <v/>
      </c>
      <c r="Y41" s="3" t="str">
        <f t="shared" si="46"/>
        <v/>
      </c>
      <c r="Z41" s="3" t="str">
        <f t="shared" si="47"/>
        <v/>
      </c>
      <c r="AA41" s="3" t="str">
        <f t="shared" si="48"/>
        <v/>
      </c>
      <c r="AB41" s="3" t="str">
        <f t="shared" si="49"/>
        <v/>
      </c>
      <c r="AC41" s="3" t="str">
        <f t="shared" si="50"/>
        <v/>
      </c>
      <c r="AD41" s="3" t="str">
        <f t="shared" si="51"/>
        <v/>
      </c>
      <c r="AE41" s="3" t="str">
        <f t="shared" si="52"/>
        <v/>
      </c>
      <c r="AF41" s="3" t="str">
        <f t="shared" si="53"/>
        <v/>
      </c>
      <c r="AG41" s="3" t="str">
        <f t="shared" si="54"/>
        <v/>
      </c>
      <c r="AH41" s="3" t="str">
        <f t="shared" si="55"/>
        <v/>
      </c>
    </row>
    <row r="42" spans="1:34" ht="34" customHeight="1">
      <c r="A42" s="8" t="s">
        <v>77</v>
      </c>
      <c r="B42" s="10" t="s">
        <v>82</v>
      </c>
      <c r="C42" s="10" t="s">
        <v>83</v>
      </c>
      <c r="D42" s="9">
        <v>46307</v>
      </c>
      <c r="E42" s="9">
        <v>46308</v>
      </c>
      <c r="F42" s="8">
        <f t="shared" si="28"/>
        <v>2</v>
      </c>
      <c r="G42" s="8">
        <v>0</v>
      </c>
      <c r="H42" s="8" t="str">
        <f t="shared" si="29"/>
        <v>Pendiente</v>
      </c>
      <c r="I42" s="3" t="str">
        <f t="shared" si="30"/>
        <v/>
      </c>
      <c r="J42" s="3" t="str">
        <f t="shared" si="31"/>
        <v/>
      </c>
      <c r="K42" s="3" t="str">
        <f t="shared" si="32"/>
        <v/>
      </c>
      <c r="L42" s="3" t="str">
        <f t="shared" si="33"/>
        <v/>
      </c>
      <c r="M42" s="3" t="str">
        <f t="shared" si="34"/>
        <v/>
      </c>
      <c r="N42" s="3" t="str">
        <f t="shared" si="35"/>
        <v/>
      </c>
      <c r="O42" s="3" t="str">
        <f t="shared" si="36"/>
        <v/>
      </c>
      <c r="P42" s="3" t="str">
        <f t="shared" si="37"/>
        <v/>
      </c>
      <c r="Q42" s="3" t="str">
        <f t="shared" si="38"/>
        <v/>
      </c>
      <c r="R42" s="3" t="str">
        <f t="shared" si="39"/>
        <v/>
      </c>
      <c r="S42" s="3" t="str">
        <f t="shared" si="40"/>
        <v/>
      </c>
      <c r="T42" s="3" t="str">
        <f t="shared" si="41"/>
        <v>▰</v>
      </c>
      <c r="U42" s="3" t="str">
        <f t="shared" si="42"/>
        <v>▰</v>
      </c>
      <c r="V42" s="3" t="str">
        <f t="shared" si="43"/>
        <v/>
      </c>
      <c r="W42" s="3" t="str">
        <f t="shared" si="44"/>
        <v/>
      </c>
      <c r="X42" s="3" t="str">
        <f t="shared" si="45"/>
        <v/>
      </c>
      <c r="Y42" s="3" t="str">
        <f t="shared" si="46"/>
        <v/>
      </c>
      <c r="Z42" s="3" t="str">
        <f t="shared" si="47"/>
        <v/>
      </c>
      <c r="AA42" s="3" t="str">
        <f t="shared" si="48"/>
        <v/>
      </c>
      <c r="AB42" s="3" t="str">
        <f t="shared" si="49"/>
        <v/>
      </c>
      <c r="AC42" s="3" t="str">
        <f t="shared" si="50"/>
        <v/>
      </c>
      <c r="AD42" s="3" t="str">
        <f t="shared" si="51"/>
        <v/>
      </c>
      <c r="AE42" s="3" t="str">
        <f t="shared" si="52"/>
        <v/>
      </c>
      <c r="AF42" s="3" t="str">
        <f t="shared" si="53"/>
        <v/>
      </c>
      <c r="AG42" s="3" t="str">
        <f t="shared" si="54"/>
        <v/>
      </c>
      <c r="AH42" s="3" t="str">
        <f t="shared" si="55"/>
        <v/>
      </c>
    </row>
    <row r="43" spans="1:34" ht="34" customHeight="1">
      <c r="A43" s="11" t="s">
        <v>77</v>
      </c>
      <c r="B43" s="13" t="s">
        <v>84</v>
      </c>
      <c r="C43" s="13" t="s">
        <v>85</v>
      </c>
      <c r="D43" s="12">
        <v>46308</v>
      </c>
      <c r="E43" s="12">
        <v>46309</v>
      </c>
      <c r="F43" s="11">
        <f t="shared" si="28"/>
        <v>2</v>
      </c>
      <c r="G43" s="11">
        <v>0</v>
      </c>
      <c r="H43" s="11" t="str">
        <f t="shared" si="29"/>
        <v>Pendiente</v>
      </c>
      <c r="I43" s="3" t="str">
        <f t="shared" si="30"/>
        <v/>
      </c>
      <c r="J43" s="3" t="str">
        <f t="shared" si="31"/>
        <v/>
      </c>
      <c r="K43" s="3" t="str">
        <f t="shared" si="32"/>
        <v/>
      </c>
      <c r="L43" s="3" t="str">
        <f t="shared" si="33"/>
        <v/>
      </c>
      <c r="M43" s="3" t="str">
        <f t="shared" si="34"/>
        <v/>
      </c>
      <c r="N43" s="3" t="str">
        <f t="shared" si="35"/>
        <v/>
      </c>
      <c r="O43" s="3" t="str">
        <f t="shared" si="36"/>
        <v/>
      </c>
      <c r="P43" s="3" t="str">
        <f t="shared" si="37"/>
        <v/>
      </c>
      <c r="Q43" s="3" t="str">
        <f t="shared" si="38"/>
        <v/>
      </c>
      <c r="R43" s="3" t="str">
        <f t="shared" si="39"/>
        <v/>
      </c>
      <c r="S43" s="3" t="str">
        <f t="shared" si="40"/>
        <v/>
      </c>
      <c r="T43" s="3" t="str">
        <f t="shared" si="41"/>
        <v/>
      </c>
      <c r="U43" s="3" t="str">
        <f t="shared" si="42"/>
        <v>▰</v>
      </c>
      <c r="V43" s="3" t="str">
        <f t="shared" si="43"/>
        <v>▰</v>
      </c>
      <c r="W43" s="3" t="str">
        <f t="shared" si="44"/>
        <v/>
      </c>
      <c r="X43" s="3" t="str">
        <f t="shared" si="45"/>
        <v/>
      </c>
      <c r="Y43" s="3" t="str">
        <f t="shared" si="46"/>
        <v/>
      </c>
      <c r="Z43" s="3" t="str">
        <f t="shared" si="47"/>
        <v/>
      </c>
      <c r="AA43" s="3" t="str">
        <f t="shared" si="48"/>
        <v/>
      </c>
      <c r="AB43" s="3" t="str">
        <f t="shared" si="49"/>
        <v/>
      </c>
      <c r="AC43" s="3" t="str">
        <f t="shared" si="50"/>
        <v/>
      </c>
      <c r="AD43" s="3" t="str">
        <f t="shared" si="51"/>
        <v/>
      </c>
      <c r="AE43" s="3" t="str">
        <f t="shared" si="52"/>
        <v/>
      </c>
      <c r="AF43" s="3" t="str">
        <f t="shared" si="53"/>
        <v/>
      </c>
      <c r="AG43" s="3" t="str">
        <f t="shared" si="54"/>
        <v/>
      </c>
      <c r="AH43" s="3" t="str">
        <f t="shared" si="55"/>
        <v/>
      </c>
    </row>
    <row r="44" spans="1:34" ht="34" customHeight="1">
      <c r="A44" s="8" t="s">
        <v>77</v>
      </c>
      <c r="B44" s="10" t="s">
        <v>86</v>
      </c>
      <c r="C44" s="10" t="s">
        <v>87</v>
      </c>
      <c r="D44" s="9">
        <v>46308</v>
      </c>
      <c r="E44" s="9">
        <v>46310</v>
      </c>
      <c r="F44" s="8">
        <f t="shared" si="28"/>
        <v>3</v>
      </c>
      <c r="G44" s="8">
        <v>0</v>
      </c>
      <c r="H44" s="8" t="str">
        <f t="shared" si="29"/>
        <v>Pendiente</v>
      </c>
      <c r="I44" s="3" t="str">
        <f t="shared" si="30"/>
        <v/>
      </c>
      <c r="J44" s="3" t="str">
        <f t="shared" si="31"/>
        <v/>
      </c>
      <c r="K44" s="3" t="str">
        <f t="shared" si="32"/>
        <v/>
      </c>
      <c r="L44" s="3" t="str">
        <f t="shared" si="33"/>
        <v/>
      </c>
      <c r="M44" s="3" t="str">
        <f t="shared" si="34"/>
        <v/>
      </c>
      <c r="N44" s="3" t="str">
        <f t="shared" si="35"/>
        <v/>
      </c>
      <c r="O44" s="3" t="str">
        <f t="shared" si="36"/>
        <v/>
      </c>
      <c r="P44" s="3" t="str">
        <f t="shared" si="37"/>
        <v/>
      </c>
      <c r="Q44" s="3" t="str">
        <f t="shared" si="38"/>
        <v/>
      </c>
      <c r="R44" s="3" t="str">
        <f t="shared" si="39"/>
        <v/>
      </c>
      <c r="S44" s="3" t="str">
        <f t="shared" si="40"/>
        <v/>
      </c>
      <c r="T44" s="3" t="str">
        <f t="shared" si="41"/>
        <v/>
      </c>
      <c r="U44" s="3" t="str">
        <f t="shared" si="42"/>
        <v>▰</v>
      </c>
      <c r="V44" s="3" t="str">
        <f t="shared" si="43"/>
        <v>▰</v>
      </c>
      <c r="W44" s="3" t="str">
        <f t="shared" si="44"/>
        <v>▰</v>
      </c>
      <c r="X44" s="3" t="str">
        <f t="shared" si="45"/>
        <v/>
      </c>
      <c r="Y44" s="3" t="str">
        <f t="shared" si="46"/>
        <v/>
      </c>
      <c r="Z44" s="3" t="str">
        <f t="shared" si="47"/>
        <v/>
      </c>
      <c r="AA44" s="3" t="str">
        <f t="shared" si="48"/>
        <v/>
      </c>
      <c r="AB44" s="3" t="str">
        <f t="shared" si="49"/>
        <v/>
      </c>
      <c r="AC44" s="3" t="str">
        <f t="shared" si="50"/>
        <v/>
      </c>
      <c r="AD44" s="3" t="str">
        <f t="shared" si="51"/>
        <v/>
      </c>
      <c r="AE44" s="3" t="str">
        <f t="shared" si="52"/>
        <v/>
      </c>
      <c r="AF44" s="3" t="str">
        <f t="shared" si="53"/>
        <v/>
      </c>
      <c r="AG44" s="3" t="str">
        <f t="shared" si="54"/>
        <v/>
      </c>
      <c r="AH44" s="3" t="str">
        <f t="shared" si="55"/>
        <v/>
      </c>
    </row>
    <row r="45" spans="1:34" ht="34" customHeight="1">
      <c r="A45" s="11" t="s">
        <v>77</v>
      </c>
      <c r="B45" s="13" t="s">
        <v>88</v>
      </c>
      <c r="C45" s="13" t="s">
        <v>89</v>
      </c>
      <c r="D45" s="12">
        <v>46309</v>
      </c>
      <c r="E45" s="12">
        <v>46312</v>
      </c>
      <c r="F45" s="11">
        <f t="shared" si="28"/>
        <v>4</v>
      </c>
      <c r="G45" s="11">
        <v>0</v>
      </c>
      <c r="H45" s="11" t="str">
        <f t="shared" si="29"/>
        <v>Pendiente</v>
      </c>
      <c r="I45" s="3" t="str">
        <f t="shared" si="30"/>
        <v/>
      </c>
      <c r="J45" s="3" t="str">
        <f t="shared" si="31"/>
        <v/>
      </c>
      <c r="K45" s="3" t="str">
        <f t="shared" si="32"/>
        <v/>
      </c>
      <c r="L45" s="3" t="str">
        <f t="shared" si="33"/>
        <v/>
      </c>
      <c r="M45" s="3" t="str">
        <f t="shared" si="34"/>
        <v/>
      </c>
      <c r="N45" s="3" t="str">
        <f t="shared" si="35"/>
        <v/>
      </c>
      <c r="O45" s="3" t="str">
        <f t="shared" si="36"/>
        <v/>
      </c>
      <c r="P45" s="3" t="str">
        <f t="shared" si="37"/>
        <v/>
      </c>
      <c r="Q45" s="3" t="str">
        <f t="shared" si="38"/>
        <v/>
      </c>
      <c r="R45" s="3" t="str">
        <f t="shared" si="39"/>
        <v/>
      </c>
      <c r="S45" s="3" t="str">
        <f t="shared" si="40"/>
        <v/>
      </c>
      <c r="T45" s="3" t="str">
        <f t="shared" si="41"/>
        <v/>
      </c>
      <c r="U45" s="3" t="str">
        <f t="shared" si="42"/>
        <v/>
      </c>
      <c r="V45" s="3" t="str">
        <f t="shared" si="43"/>
        <v>▰</v>
      </c>
      <c r="W45" s="3" t="str">
        <f t="shared" si="44"/>
        <v>▰</v>
      </c>
      <c r="X45" s="3" t="str">
        <f t="shared" si="45"/>
        <v>▰</v>
      </c>
      <c r="Y45" s="3" t="str">
        <f t="shared" si="46"/>
        <v>▰</v>
      </c>
      <c r="Z45" s="3" t="str">
        <f t="shared" si="47"/>
        <v/>
      </c>
      <c r="AA45" s="3" t="str">
        <f t="shared" si="48"/>
        <v/>
      </c>
      <c r="AB45" s="3" t="str">
        <f t="shared" si="49"/>
        <v/>
      </c>
      <c r="AC45" s="3" t="str">
        <f t="shared" si="50"/>
        <v/>
      </c>
      <c r="AD45" s="3" t="str">
        <f t="shared" si="51"/>
        <v/>
      </c>
      <c r="AE45" s="3" t="str">
        <f t="shared" si="52"/>
        <v/>
      </c>
      <c r="AF45" s="3" t="str">
        <f t="shared" si="53"/>
        <v/>
      </c>
      <c r="AG45" s="3" t="str">
        <f t="shared" si="54"/>
        <v/>
      </c>
      <c r="AH45" s="3" t="str">
        <f t="shared" si="55"/>
        <v/>
      </c>
    </row>
    <row r="46" spans="1:34" ht="34" customHeight="1">
      <c r="A46" s="8" t="s">
        <v>77</v>
      </c>
      <c r="B46" s="10" t="s">
        <v>90</v>
      </c>
      <c r="C46" s="10" t="s">
        <v>91</v>
      </c>
      <c r="D46" s="9">
        <v>46310</v>
      </c>
      <c r="E46" s="9">
        <v>46313</v>
      </c>
      <c r="F46" s="8">
        <f t="shared" si="28"/>
        <v>4</v>
      </c>
      <c r="G46" s="8">
        <v>0</v>
      </c>
      <c r="H46" s="8" t="str">
        <f t="shared" si="29"/>
        <v>Pendiente</v>
      </c>
      <c r="I46" s="3" t="str">
        <f t="shared" si="30"/>
        <v/>
      </c>
      <c r="J46" s="3" t="str">
        <f t="shared" si="31"/>
        <v/>
      </c>
      <c r="K46" s="3" t="str">
        <f t="shared" si="32"/>
        <v/>
      </c>
      <c r="L46" s="3" t="str">
        <f t="shared" si="33"/>
        <v/>
      </c>
      <c r="M46" s="3" t="str">
        <f t="shared" si="34"/>
        <v/>
      </c>
      <c r="N46" s="3" t="str">
        <f t="shared" si="35"/>
        <v/>
      </c>
      <c r="O46" s="3" t="str">
        <f t="shared" si="36"/>
        <v/>
      </c>
      <c r="P46" s="3" t="str">
        <f t="shared" si="37"/>
        <v/>
      </c>
      <c r="Q46" s="3" t="str">
        <f t="shared" si="38"/>
        <v/>
      </c>
      <c r="R46" s="3" t="str">
        <f t="shared" si="39"/>
        <v/>
      </c>
      <c r="S46" s="3" t="str">
        <f t="shared" si="40"/>
        <v/>
      </c>
      <c r="T46" s="3" t="str">
        <f t="shared" si="41"/>
        <v/>
      </c>
      <c r="U46" s="3" t="str">
        <f t="shared" si="42"/>
        <v/>
      </c>
      <c r="V46" s="3" t="str">
        <f t="shared" si="43"/>
        <v/>
      </c>
      <c r="W46" s="3" t="str">
        <f t="shared" si="44"/>
        <v>▰</v>
      </c>
      <c r="X46" s="3" t="str">
        <f t="shared" si="45"/>
        <v>▰</v>
      </c>
      <c r="Y46" s="3" t="str">
        <f t="shared" si="46"/>
        <v>▰</v>
      </c>
      <c r="Z46" s="3" t="str">
        <f t="shared" si="47"/>
        <v>▰</v>
      </c>
      <c r="AA46" s="3" t="str">
        <f t="shared" si="48"/>
        <v/>
      </c>
      <c r="AB46" s="3" t="str">
        <f t="shared" si="49"/>
        <v/>
      </c>
      <c r="AC46" s="3" t="str">
        <f t="shared" si="50"/>
        <v/>
      </c>
      <c r="AD46" s="3" t="str">
        <f t="shared" si="51"/>
        <v/>
      </c>
      <c r="AE46" s="3" t="str">
        <f t="shared" si="52"/>
        <v/>
      </c>
      <c r="AF46" s="3" t="str">
        <f t="shared" si="53"/>
        <v/>
      </c>
      <c r="AG46" s="3" t="str">
        <f t="shared" si="54"/>
        <v/>
      </c>
      <c r="AH46" s="3" t="str">
        <f t="shared" si="55"/>
        <v/>
      </c>
    </row>
    <row r="47" spans="1:34" ht="34" customHeight="1">
      <c r="A47" s="11" t="s">
        <v>77</v>
      </c>
      <c r="B47" s="13" t="s">
        <v>92</v>
      </c>
      <c r="C47" s="13" t="s">
        <v>93</v>
      </c>
      <c r="D47" s="12">
        <v>46311</v>
      </c>
      <c r="E47" s="12">
        <v>46313</v>
      </c>
      <c r="F47" s="11">
        <f t="shared" si="28"/>
        <v>3</v>
      </c>
      <c r="G47" s="11">
        <v>0</v>
      </c>
      <c r="H47" s="11" t="str">
        <f t="shared" si="29"/>
        <v>Pendiente</v>
      </c>
      <c r="I47" s="3" t="str">
        <f t="shared" si="30"/>
        <v/>
      </c>
      <c r="J47" s="3" t="str">
        <f t="shared" si="31"/>
        <v/>
      </c>
      <c r="K47" s="3" t="str">
        <f t="shared" si="32"/>
        <v/>
      </c>
      <c r="L47" s="3" t="str">
        <f t="shared" si="33"/>
        <v/>
      </c>
      <c r="M47" s="3" t="str">
        <f t="shared" si="34"/>
        <v/>
      </c>
      <c r="N47" s="3" t="str">
        <f t="shared" si="35"/>
        <v/>
      </c>
      <c r="O47" s="3" t="str">
        <f t="shared" si="36"/>
        <v/>
      </c>
      <c r="P47" s="3" t="str">
        <f t="shared" si="37"/>
        <v/>
      </c>
      <c r="Q47" s="3" t="str">
        <f t="shared" si="38"/>
        <v/>
      </c>
      <c r="R47" s="3" t="str">
        <f t="shared" si="39"/>
        <v/>
      </c>
      <c r="S47" s="3" t="str">
        <f t="shared" si="40"/>
        <v/>
      </c>
      <c r="T47" s="3" t="str">
        <f t="shared" si="41"/>
        <v/>
      </c>
      <c r="U47" s="3" t="str">
        <f t="shared" si="42"/>
        <v/>
      </c>
      <c r="V47" s="3" t="str">
        <f t="shared" si="43"/>
        <v/>
      </c>
      <c r="W47" s="3" t="str">
        <f t="shared" si="44"/>
        <v/>
      </c>
      <c r="X47" s="3" t="str">
        <f t="shared" si="45"/>
        <v>▰</v>
      </c>
      <c r="Y47" s="3" t="str">
        <f t="shared" si="46"/>
        <v>▰</v>
      </c>
      <c r="Z47" s="3" t="str">
        <f t="shared" si="47"/>
        <v>▰</v>
      </c>
      <c r="AA47" s="3" t="str">
        <f t="shared" si="48"/>
        <v/>
      </c>
      <c r="AB47" s="3" t="str">
        <f t="shared" si="49"/>
        <v/>
      </c>
      <c r="AC47" s="3" t="str">
        <f t="shared" si="50"/>
        <v/>
      </c>
      <c r="AD47" s="3" t="str">
        <f t="shared" si="51"/>
        <v/>
      </c>
      <c r="AE47" s="3" t="str">
        <f t="shared" si="52"/>
        <v/>
      </c>
      <c r="AF47" s="3" t="str">
        <f t="shared" si="53"/>
        <v/>
      </c>
      <c r="AG47" s="3" t="str">
        <f t="shared" si="54"/>
        <v/>
      </c>
      <c r="AH47" s="3" t="str">
        <f t="shared" si="55"/>
        <v/>
      </c>
    </row>
    <row r="48" spans="1:34" ht="34" customHeight="1">
      <c r="A48" s="8" t="s">
        <v>77</v>
      </c>
      <c r="B48" s="10" t="s">
        <v>94</v>
      </c>
      <c r="C48" s="10" t="s">
        <v>95</v>
      </c>
      <c r="D48" s="9">
        <v>46311</v>
      </c>
      <c r="E48" s="9">
        <v>46314</v>
      </c>
      <c r="F48" s="8">
        <f t="shared" si="28"/>
        <v>4</v>
      </c>
      <c r="G48" s="8">
        <v>0</v>
      </c>
      <c r="H48" s="8" t="str">
        <f t="shared" si="29"/>
        <v>Pendiente</v>
      </c>
      <c r="I48" s="3" t="str">
        <f t="shared" si="30"/>
        <v/>
      </c>
      <c r="J48" s="3" t="str">
        <f t="shared" si="31"/>
        <v/>
      </c>
      <c r="K48" s="3" t="str">
        <f t="shared" si="32"/>
        <v/>
      </c>
      <c r="L48" s="3" t="str">
        <f t="shared" si="33"/>
        <v/>
      </c>
      <c r="M48" s="3" t="str">
        <f t="shared" si="34"/>
        <v/>
      </c>
      <c r="N48" s="3" t="str">
        <f t="shared" si="35"/>
        <v/>
      </c>
      <c r="O48" s="3" t="str">
        <f t="shared" si="36"/>
        <v/>
      </c>
      <c r="P48" s="3" t="str">
        <f t="shared" si="37"/>
        <v/>
      </c>
      <c r="Q48" s="3" t="str">
        <f t="shared" si="38"/>
        <v/>
      </c>
      <c r="R48" s="3" t="str">
        <f t="shared" si="39"/>
        <v/>
      </c>
      <c r="S48" s="3" t="str">
        <f t="shared" si="40"/>
        <v/>
      </c>
      <c r="T48" s="3" t="str">
        <f t="shared" si="41"/>
        <v/>
      </c>
      <c r="U48" s="3" t="str">
        <f t="shared" si="42"/>
        <v/>
      </c>
      <c r="V48" s="3" t="str">
        <f t="shared" si="43"/>
        <v/>
      </c>
      <c r="W48" s="3" t="str">
        <f t="shared" si="44"/>
        <v/>
      </c>
      <c r="X48" s="3" t="str">
        <f t="shared" si="45"/>
        <v>▰</v>
      </c>
      <c r="Y48" s="3" t="str">
        <f t="shared" si="46"/>
        <v>▰</v>
      </c>
      <c r="Z48" s="3" t="str">
        <f t="shared" si="47"/>
        <v>▰</v>
      </c>
      <c r="AA48" s="3" t="str">
        <f t="shared" si="48"/>
        <v>▰</v>
      </c>
      <c r="AB48" s="3" t="str">
        <f t="shared" si="49"/>
        <v/>
      </c>
      <c r="AC48" s="3" t="str">
        <f t="shared" si="50"/>
        <v/>
      </c>
      <c r="AD48" s="3" t="str">
        <f t="shared" si="51"/>
        <v/>
      </c>
      <c r="AE48" s="3" t="str">
        <f t="shared" si="52"/>
        <v/>
      </c>
      <c r="AF48" s="3" t="str">
        <f t="shared" si="53"/>
        <v/>
      </c>
      <c r="AG48" s="3" t="str">
        <f t="shared" si="54"/>
        <v/>
      </c>
      <c r="AH48" s="3" t="str">
        <f t="shared" si="55"/>
        <v/>
      </c>
    </row>
    <row r="49" spans="1:34" ht="34" customHeight="1">
      <c r="A49" s="11" t="s">
        <v>77</v>
      </c>
      <c r="B49" s="13" t="s">
        <v>96</v>
      </c>
      <c r="C49" s="13" t="s">
        <v>87</v>
      </c>
      <c r="D49" s="12">
        <v>46312</v>
      </c>
      <c r="E49" s="12">
        <v>46315</v>
      </c>
      <c r="F49" s="11">
        <f t="shared" si="28"/>
        <v>4</v>
      </c>
      <c r="G49" s="11">
        <v>0</v>
      </c>
      <c r="H49" s="11" t="str">
        <f t="shared" si="29"/>
        <v>Pendiente</v>
      </c>
      <c r="I49" s="3" t="str">
        <f t="shared" si="30"/>
        <v/>
      </c>
      <c r="J49" s="3" t="str">
        <f t="shared" si="31"/>
        <v/>
      </c>
      <c r="K49" s="3" t="str">
        <f t="shared" si="32"/>
        <v/>
      </c>
      <c r="L49" s="3" t="str">
        <f t="shared" si="33"/>
        <v/>
      </c>
      <c r="M49" s="3" t="str">
        <f t="shared" si="34"/>
        <v/>
      </c>
      <c r="N49" s="3" t="str">
        <f t="shared" si="35"/>
        <v/>
      </c>
      <c r="O49" s="3" t="str">
        <f t="shared" si="36"/>
        <v/>
      </c>
      <c r="P49" s="3" t="str">
        <f t="shared" si="37"/>
        <v/>
      </c>
      <c r="Q49" s="3" t="str">
        <f t="shared" si="38"/>
        <v/>
      </c>
      <c r="R49" s="3" t="str">
        <f t="shared" si="39"/>
        <v/>
      </c>
      <c r="S49" s="3" t="str">
        <f t="shared" si="40"/>
        <v/>
      </c>
      <c r="T49" s="3" t="str">
        <f t="shared" si="41"/>
        <v/>
      </c>
      <c r="U49" s="3" t="str">
        <f t="shared" si="42"/>
        <v/>
      </c>
      <c r="V49" s="3" t="str">
        <f t="shared" si="43"/>
        <v/>
      </c>
      <c r="W49" s="3" t="str">
        <f t="shared" si="44"/>
        <v/>
      </c>
      <c r="X49" s="3" t="str">
        <f t="shared" si="45"/>
        <v/>
      </c>
      <c r="Y49" s="3" t="str">
        <f t="shared" si="46"/>
        <v>▰</v>
      </c>
      <c r="Z49" s="3" t="str">
        <f t="shared" si="47"/>
        <v>▰</v>
      </c>
      <c r="AA49" s="3" t="str">
        <f t="shared" si="48"/>
        <v>▰</v>
      </c>
      <c r="AB49" s="3" t="str">
        <f t="shared" si="49"/>
        <v>▰</v>
      </c>
      <c r="AC49" s="3" t="str">
        <f t="shared" si="50"/>
        <v/>
      </c>
      <c r="AD49" s="3" t="str">
        <f t="shared" si="51"/>
        <v/>
      </c>
      <c r="AE49" s="3" t="str">
        <f t="shared" si="52"/>
        <v/>
      </c>
      <c r="AF49" s="3" t="str">
        <f t="shared" si="53"/>
        <v/>
      </c>
      <c r="AG49" s="3" t="str">
        <f t="shared" si="54"/>
        <v/>
      </c>
      <c r="AH49" s="3" t="str">
        <f t="shared" si="55"/>
        <v/>
      </c>
    </row>
    <row r="50" spans="1:34" ht="34" customHeight="1">
      <c r="A50" s="8" t="s">
        <v>77</v>
      </c>
      <c r="B50" s="10" t="s">
        <v>97</v>
      </c>
      <c r="C50" s="10" t="s">
        <v>89</v>
      </c>
      <c r="D50" s="9">
        <v>46313</v>
      </c>
      <c r="E50" s="9">
        <v>46316</v>
      </c>
      <c r="F50" s="8">
        <f t="shared" si="28"/>
        <v>4</v>
      </c>
      <c r="G50" s="8">
        <v>0</v>
      </c>
      <c r="H50" s="8" t="str">
        <f t="shared" si="29"/>
        <v>Pendiente</v>
      </c>
      <c r="I50" s="3" t="str">
        <f t="shared" si="30"/>
        <v/>
      </c>
      <c r="J50" s="3" t="str">
        <f t="shared" si="31"/>
        <v/>
      </c>
      <c r="K50" s="3" t="str">
        <f t="shared" si="32"/>
        <v/>
      </c>
      <c r="L50" s="3" t="str">
        <f t="shared" si="33"/>
        <v/>
      </c>
      <c r="M50" s="3" t="str">
        <f t="shared" si="34"/>
        <v/>
      </c>
      <c r="N50" s="3" t="str">
        <f t="shared" si="35"/>
        <v/>
      </c>
      <c r="O50" s="3" t="str">
        <f t="shared" si="36"/>
        <v/>
      </c>
      <c r="P50" s="3" t="str">
        <f t="shared" si="37"/>
        <v/>
      </c>
      <c r="Q50" s="3" t="str">
        <f t="shared" si="38"/>
        <v/>
      </c>
      <c r="R50" s="3" t="str">
        <f t="shared" si="39"/>
        <v/>
      </c>
      <c r="S50" s="3" t="str">
        <f t="shared" si="40"/>
        <v/>
      </c>
      <c r="T50" s="3" t="str">
        <f t="shared" si="41"/>
        <v/>
      </c>
      <c r="U50" s="3" t="str">
        <f t="shared" si="42"/>
        <v/>
      </c>
      <c r="V50" s="3" t="str">
        <f t="shared" si="43"/>
        <v/>
      </c>
      <c r="W50" s="3" t="str">
        <f t="shared" si="44"/>
        <v/>
      </c>
      <c r="X50" s="3" t="str">
        <f t="shared" si="45"/>
        <v/>
      </c>
      <c r="Y50" s="3" t="str">
        <f t="shared" si="46"/>
        <v/>
      </c>
      <c r="Z50" s="3" t="str">
        <f t="shared" si="47"/>
        <v>▰</v>
      </c>
      <c r="AA50" s="3" t="str">
        <f t="shared" si="48"/>
        <v>▰</v>
      </c>
      <c r="AB50" s="3" t="str">
        <f t="shared" si="49"/>
        <v>▰</v>
      </c>
      <c r="AC50" s="3" t="str">
        <f t="shared" si="50"/>
        <v>▰</v>
      </c>
      <c r="AD50" s="3" t="str">
        <f t="shared" si="51"/>
        <v/>
      </c>
      <c r="AE50" s="3" t="str">
        <f t="shared" si="52"/>
        <v/>
      </c>
      <c r="AF50" s="3" t="str">
        <f t="shared" si="53"/>
        <v/>
      </c>
      <c r="AG50" s="3" t="str">
        <f t="shared" si="54"/>
        <v/>
      </c>
      <c r="AH50" s="3" t="str">
        <f t="shared" si="55"/>
        <v/>
      </c>
    </row>
    <row r="51" spans="1:34" ht="34" customHeight="1">
      <c r="A51" s="11" t="s">
        <v>77</v>
      </c>
      <c r="B51" s="13" t="s">
        <v>98</v>
      </c>
      <c r="C51" s="13" t="s">
        <v>99</v>
      </c>
      <c r="D51" s="12">
        <v>46314</v>
      </c>
      <c r="E51" s="12">
        <v>46316</v>
      </c>
      <c r="F51" s="11">
        <f t="shared" si="28"/>
        <v>3</v>
      </c>
      <c r="G51" s="11">
        <v>0</v>
      </c>
      <c r="H51" s="11" t="str">
        <f t="shared" si="29"/>
        <v>Pendiente</v>
      </c>
      <c r="I51" s="3" t="str">
        <f t="shared" si="30"/>
        <v/>
      </c>
      <c r="J51" s="3" t="str">
        <f t="shared" si="31"/>
        <v/>
      </c>
      <c r="K51" s="3" t="str">
        <f t="shared" si="32"/>
        <v/>
      </c>
      <c r="L51" s="3" t="str">
        <f t="shared" si="33"/>
        <v/>
      </c>
      <c r="M51" s="3" t="str">
        <f t="shared" si="34"/>
        <v/>
      </c>
      <c r="N51" s="3" t="str">
        <f t="shared" si="35"/>
        <v/>
      </c>
      <c r="O51" s="3" t="str">
        <f t="shared" si="36"/>
        <v/>
      </c>
      <c r="P51" s="3" t="str">
        <f t="shared" si="37"/>
        <v/>
      </c>
      <c r="Q51" s="3" t="str">
        <f t="shared" si="38"/>
        <v/>
      </c>
      <c r="R51" s="3" t="str">
        <f t="shared" si="39"/>
        <v/>
      </c>
      <c r="S51" s="3" t="str">
        <f t="shared" si="40"/>
        <v/>
      </c>
      <c r="T51" s="3" t="str">
        <f t="shared" si="41"/>
        <v/>
      </c>
      <c r="U51" s="3" t="str">
        <f t="shared" si="42"/>
        <v/>
      </c>
      <c r="V51" s="3" t="str">
        <f t="shared" si="43"/>
        <v/>
      </c>
      <c r="W51" s="3" t="str">
        <f t="shared" si="44"/>
        <v/>
      </c>
      <c r="X51" s="3" t="str">
        <f t="shared" si="45"/>
        <v/>
      </c>
      <c r="Y51" s="3" t="str">
        <f t="shared" si="46"/>
        <v/>
      </c>
      <c r="Z51" s="3" t="str">
        <f t="shared" si="47"/>
        <v/>
      </c>
      <c r="AA51" s="3" t="str">
        <f t="shared" si="48"/>
        <v>▰</v>
      </c>
      <c r="AB51" s="3" t="str">
        <f t="shared" si="49"/>
        <v>▰</v>
      </c>
      <c r="AC51" s="3" t="str">
        <f t="shared" si="50"/>
        <v>▰</v>
      </c>
      <c r="AD51" s="3" t="str">
        <f t="shared" si="51"/>
        <v/>
      </c>
      <c r="AE51" s="3" t="str">
        <f t="shared" si="52"/>
        <v/>
      </c>
      <c r="AF51" s="3" t="str">
        <f t="shared" si="53"/>
        <v/>
      </c>
      <c r="AG51" s="3" t="str">
        <f t="shared" si="54"/>
        <v/>
      </c>
      <c r="AH51" s="3" t="str">
        <f t="shared" si="55"/>
        <v/>
      </c>
    </row>
    <row r="52" spans="1:34" ht="34" customHeight="1">
      <c r="A52" s="8" t="s">
        <v>77</v>
      </c>
      <c r="B52" s="10" t="s">
        <v>100</v>
      </c>
      <c r="C52" s="10" t="s">
        <v>101</v>
      </c>
      <c r="D52" s="9">
        <v>46311</v>
      </c>
      <c r="E52" s="9">
        <v>46314</v>
      </c>
      <c r="F52" s="8">
        <f t="shared" si="28"/>
        <v>4</v>
      </c>
      <c r="G52" s="8">
        <v>0</v>
      </c>
      <c r="H52" s="8" t="str">
        <f t="shared" si="29"/>
        <v>Pendiente</v>
      </c>
      <c r="I52" s="3" t="str">
        <f t="shared" si="30"/>
        <v/>
      </c>
      <c r="J52" s="3" t="str">
        <f t="shared" si="31"/>
        <v/>
      </c>
      <c r="K52" s="3" t="str">
        <f t="shared" si="32"/>
        <v/>
      </c>
      <c r="L52" s="3" t="str">
        <f t="shared" si="33"/>
        <v/>
      </c>
      <c r="M52" s="3" t="str">
        <f t="shared" si="34"/>
        <v/>
      </c>
      <c r="N52" s="3" t="str">
        <f t="shared" si="35"/>
        <v/>
      </c>
      <c r="O52" s="3" t="str">
        <f t="shared" si="36"/>
        <v/>
      </c>
      <c r="P52" s="3" t="str">
        <f t="shared" si="37"/>
        <v/>
      </c>
      <c r="Q52" s="3" t="str">
        <f t="shared" si="38"/>
        <v/>
      </c>
      <c r="R52" s="3" t="str">
        <f t="shared" si="39"/>
        <v/>
      </c>
      <c r="S52" s="3" t="str">
        <f t="shared" si="40"/>
        <v/>
      </c>
      <c r="T52" s="3" t="str">
        <f t="shared" si="41"/>
        <v/>
      </c>
      <c r="U52" s="3" t="str">
        <f t="shared" si="42"/>
        <v/>
      </c>
      <c r="V52" s="3" t="str">
        <f t="shared" si="43"/>
        <v/>
      </c>
      <c r="W52" s="3" t="str">
        <f t="shared" si="44"/>
        <v/>
      </c>
      <c r="X52" s="3" t="str">
        <f t="shared" si="45"/>
        <v>▰</v>
      </c>
      <c r="Y52" s="3" t="str">
        <f t="shared" si="46"/>
        <v>▰</v>
      </c>
      <c r="Z52" s="3" t="str">
        <f t="shared" si="47"/>
        <v>▰</v>
      </c>
      <c r="AA52" s="3" t="str">
        <f t="shared" si="48"/>
        <v>▰</v>
      </c>
      <c r="AB52" s="3" t="str">
        <f t="shared" si="49"/>
        <v/>
      </c>
      <c r="AC52" s="3" t="str">
        <f t="shared" si="50"/>
        <v/>
      </c>
      <c r="AD52" s="3" t="str">
        <f t="shared" si="51"/>
        <v/>
      </c>
      <c r="AE52" s="3" t="str">
        <f t="shared" si="52"/>
        <v/>
      </c>
      <c r="AF52" s="3" t="str">
        <f t="shared" si="53"/>
        <v/>
      </c>
      <c r="AG52" s="3" t="str">
        <f t="shared" si="54"/>
        <v/>
      </c>
      <c r="AH52" s="3" t="str">
        <f t="shared" si="55"/>
        <v/>
      </c>
    </row>
    <row r="53" spans="1:34" ht="34" customHeight="1">
      <c r="A53" s="11" t="s">
        <v>77</v>
      </c>
      <c r="B53" s="13" t="s">
        <v>102</v>
      </c>
      <c r="C53" s="13" t="s">
        <v>103</v>
      </c>
      <c r="D53" s="12">
        <v>46313</v>
      </c>
      <c r="E53" s="12">
        <v>46316</v>
      </c>
      <c r="F53" s="11">
        <f t="shared" si="28"/>
        <v>4</v>
      </c>
      <c r="G53" s="11">
        <v>0</v>
      </c>
      <c r="H53" s="11" t="str">
        <f t="shared" si="29"/>
        <v>Pendiente</v>
      </c>
      <c r="I53" s="3" t="str">
        <f t="shared" si="30"/>
        <v/>
      </c>
      <c r="J53" s="3" t="str">
        <f t="shared" si="31"/>
        <v/>
      </c>
      <c r="K53" s="3" t="str">
        <f t="shared" si="32"/>
        <v/>
      </c>
      <c r="L53" s="3" t="str">
        <f t="shared" si="33"/>
        <v/>
      </c>
      <c r="M53" s="3" t="str">
        <f t="shared" si="34"/>
        <v/>
      </c>
      <c r="N53" s="3" t="str">
        <f t="shared" si="35"/>
        <v/>
      </c>
      <c r="O53" s="3" t="str">
        <f t="shared" si="36"/>
        <v/>
      </c>
      <c r="P53" s="3" t="str">
        <f t="shared" si="37"/>
        <v/>
      </c>
      <c r="Q53" s="3" t="str">
        <f t="shared" si="38"/>
        <v/>
      </c>
      <c r="R53" s="3" t="str">
        <f t="shared" si="39"/>
        <v/>
      </c>
      <c r="S53" s="3" t="str">
        <f t="shared" si="40"/>
        <v/>
      </c>
      <c r="T53" s="3" t="str">
        <f t="shared" si="41"/>
        <v/>
      </c>
      <c r="U53" s="3" t="str">
        <f t="shared" si="42"/>
        <v/>
      </c>
      <c r="V53" s="3" t="str">
        <f t="shared" si="43"/>
        <v/>
      </c>
      <c r="W53" s="3" t="str">
        <f t="shared" si="44"/>
        <v/>
      </c>
      <c r="X53" s="3" t="str">
        <f t="shared" si="45"/>
        <v/>
      </c>
      <c r="Y53" s="3" t="str">
        <f t="shared" si="46"/>
        <v/>
      </c>
      <c r="Z53" s="3" t="str">
        <f t="shared" si="47"/>
        <v>▰</v>
      </c>
      <c r="AA53" s="3" t="str">
        <f t="shared" si="48"/>
        <v>▰</v>
      </c>
      <c r="AB53" s="3" t="str">
        <f t="shared" si="49"/>
        <v>▰</v>
      </c>
      <c r="AC53" s="3" t="str">
        <f t="shared" si="50"/>
        <v>▰</v>
      </c>
      <c r="AD53" s="3" t="str">
        <f t="shared" si="51"/>
        <v/>
      </c>
      <c r="AE53" s="3" t="str">
        <f t="shared" si="52"/>
        <v/>
      </c>
      <c r="AF53" s="3" t="str">
        <f t="shared" si="53"/>
        <v/>
      </c>
      <c r="AG53" s="3" t="str">
        <f t="shared" si="54"/>
        <v/>
      </c>
      <c r="AH53" s="3" t="str">
        <f t="shared" si="55"/>
        <v/>
      </c>
    </row>
    <row r="54" spans="1:34" ht="34" customHeight="1">
      <c r="A54" s="8" t="s">
        <v>77</v>
      </c>
      <c r="B54" s="10" t="s">
        <v>104</v>
      </c>
      <c r="C54" s="10" t="s">
        <v>105</v>
      </c>
      <c r="D54" s="9">
        <v>46315</v>
      </c>
      <c r="E54" s="9">
        <v>46317</v>
      </c>
      <c r="F54" s="8">
        <f t="shared" si="28"/>
        <v>3</v>
      </c>
      <c r="G54" s="8">
        <v>0</v>
      </c>
      <c r="H54" s="8" t="str">
        <f t="shared" si="29"/>
        <v>Pendiente</v>
      </c>
      <c r="I54" s="3" t="str">
        <f t="shared" si="30"/>
        <v/>
      </c>
      <c r="J54" s="3" t="str">
        <f t="shared" si="31"/>
        <v/>
      </c>
      <c r="K54" s="3" t="str">
        <f t="shared" si="32"/>
        <v/>
      </c>
      <c r="L54" s="3" t="str">
        <f t="shared" si="33"/>
        <v/>
      </c>
      <c r="M54" s="3" t="str">
        <f t="shared" si="34"/>
        <v/>
      </c>
      <c r="N54" s="3" t="str">
        <f t="shared" si="35"/>
        <v/>
      </c>
      <c r="O54" s="3" t="str">
        <f t="shared" si="36"/>
        <v/>
      </c>
      <c r="P54" s="3" t="str">
        <f t="shared" si="37"/>
        <v/>
      </c>
      <c r="Q54" s="3" t="str">
        <f t="shared" si="38"/>
        <v/>
      </c>
      <c r="R54" s="3" t="str">
        <f t="shared" si="39"/>
        <v/>
      </c>
      <c r="S54" s="3" t="str">
        <f t="shared" si="40"/>
        <v/>
      </c>
      <c r="T54" s="3" t="str">
        <f t="shared" si="41"/>
        <v/>
      </c>
      <c r="U54" s="3" t="str">
        <f t="shared" si="42"/>
        <v/>
      </c>
      <c r="V54" s="3" t="str">
        <f t="shared" si="43"/>
        <v/>
      </c>
      <c r="W54" s="3" t="str">
        <f t="shared" si="44"/>
        <v/>
      </c>
      <c r="X54" s="3" t="str">
        <f t="shared" si="45"/>
        <v/>
      </c>
      <c r="Y54" s="3" t="str">
        <f t="shared" si="46"/>
        <v/>
      </c>
      <c r="Z54" s="3" t="str">
        <f t="shared" si="47"/>
        <v/>
      </c>
      <c r="AA54" s="3" t="str">
        <f t="shared" si="48"/>
        <v/>
      </c>
      <c r="AB54" s="3" t="str">
        <f t="shared" si="49"/>
        <v>▰</v>
      </c>
      <c r="AC54" s="3" t="str">
        <f t="shared" si="50"/>
        <v>▰</v>
      </c>
      <c r="AD54" s="3" t="str">
        <f t="shared" si="51"/>
        <v>▰</v>
      </c>
      <c r="AE54" s="3" t="str">
        <f t="shared" si="52"/>
        <v/>
      </c>
      <c r="AF54" s="3" t="str">
        <f t="shared" si="53"/>
        <v/>
      </c>
      <c r="AG54" s="3" t="str">
        <f t="shared" si="54"/>
        <v/>
      </c>
      <c r="AH54" s="3" t="str">
        <f t="shared" si="55"/>
        <v/>
      </c>
    </row>
    <row r="55" spans="1:34" ht="34" customHeight="1">
      <c r="A55" s="11" t="s">
        <v>77</v>
      </c>
      <c r="B55" s="13" t="s">
        <v>106</v>
      </c>
      <c r="C55" s="13" t="s">
        <v>95</v>
      </c>
      <c r="D55" s="12">
        <v>46315</v>
      </c>
      <c r="E55" s="12">
        <v>46317</v>
      </c>
      <c r="F55" s="11">
        <f t="shared" si="28"/>
        <v>3</v>
      </c>
      <c r="G55" s="11">
        <v>0</v>
      </c>
      <c r="H55" s="11" t="str">
        <f t="shared" si="29"/>
        <v>Pendiente</v>
      </c>
      <c r="I55" s="3" t="str">
        <f t="shared" si="30"/>
        <v/>
      </c>
      <c r="J55" s="3" t="str">
        <f t="shared" si="31"/>
        <v/>
      </c>
      <c r="K55" s="3" t="str">
        <f t="shared" si="32"/>
        <v/>
      </c>
      <c r="L55" s="3" t="str">
        <f t="shared" si="33"/>
        <v/>
      </c>
      <c r="M55" s="3" t="str">
        <f t="shared" si="34"/>
        <v/>
      </c>
      <c r="N55" s="3" t="str">
        <f t="shared" si="35"/>
        <v/>
      </c>
      <c r="O55" s="3" t="str">
        <f t="shared" si="36"/>
        <v/>
      </c>
      <c r="P55" s="3" t="str">
        <f t="shared" si="37"/>
        <v/>
      </c>
      <c r="Q55" s="3" t="str">
        <f t="shared" si="38"/>
        <v/>
      </c>
      <c r="R55" s="3" t="str">
        <f t="shared" si="39"/>
        <v/>
      </c>
      <c r="S55" s="3" t="str">
        <f t="shared" si="40"/>
        <v/>
      </c>
      <c r="T55" s="3" t="str">
        <f t="shared" si="41"/>
        <v/>
      </c>
      <c r="U55" s="3" t="str">
        <f t="shared" si="42"/>
        <v/>
      </c>
      <c r="V55" s="3" t="str">
        <f t="shared" si="43"/>
        <v/>
      </c>
      <c r="W55" s="3" t="str">
        <f t="shared" si="44"/>
        <v/>
      </c>
      <c r="X55" s="3" t="str">
        <f t="shared" si="45"/>
        <v/>
      </c>
      <c r="Y55" s="3" t="str">
        <f t="shared" si="46"/>
        <v/>
      </c>
      <c r="Z55" s="3" t="str">
        <f t="shared" si="47"/>
        <v/>
      </c>
      <c r="AA55" s="3" t="str">
        <f t="shared" si="48"/>
        <v/>
      </c>
      <c r="AB55" s="3" t="str">
        <f t="shared" si="49"/>
        <v>▰</v>
      </c>
      <c r="AC55" s="3" t="str">
        <f t="shared" si="50"/>
        <v>▰</v>
      </c>
      <c r="AD55" s="3" t="str">
        <f t="shared" si="51"/>
        <v>▰</v>
      </c>
      <c r="AE55" s="3" t="str">
        <f t="shared" si="52"/>
        <v/>
      </c>
      <c r="AF55" s="3" t="str">
        <f t="shared" si="53"/>
        <v/>
      </c>
      <c r="AG55" s="3" t="str">
        <f t="shared" si="54"/>
        <v/>
      </c>
      <c r="AH55" s="3" t="str">
        <f t="shared" si="55"/>
        <v/>
      </c>
    </row>
    <row r="56" spans="1:34" ht="34" customHeight="1">
      <c r="A56" s="8" t="s">
        <v>77</v>
      </c>
      <c r="B56" s="10" t="s">
        <v>107</v>
      </c>
      <c r="C56" s="10" t="s">
        <v>87</v>
      </c>
      <c r="D56" s="9">
        <v>46312</v>
      </c>
      <c r="E56" s="9">
        <v>46317</v>
      </c>
      <c r="F56" s="8">
        <f t="shared" si="28"/>
        <v>6</v>
      </c>
      <c r="G56" s="8">
        <v>0</v>
      </c>
      <c r="H56" s="8" t="str">
        <f t="shared" si="29"/>
        <v>Pendiente</v>
      </c>
      <c r="I56" s="3" t="str">
        <f t="shared" si="30"/>
        <v/>
      </c>
      <c r="J56" s="3" t="str">
        <f t="shared" si="31"/>
        <v/>
      </c>
      <c r="K56" s="3" t="str">
        <f t="shared" si="32"/>
        <v/>
      </c>
      <c r="L56" s="3" t="str">
        <f t="shared" si="33"/>
        <v/>
      </c>
      <c r="M56" s="3" t="str">
        <f t="shared" si="34"/>
        <v/>
      </c>
      <c r="N56" s="3" t="str">
        <f t="shared" si="35"/>
        <v/>
      </c>
      <c r="O56" s="3" t="str">
        <f t="shared" si="36"/>
        <v/>
      </c>
      <c r="P56" s="3" t="str">
        <f t="shared" si="37"/>
        <v/>
      </c>
      <c r="Q56" s="3" t="str">
        <f t="shared" si="38"/>
        <v/>
      </c>
      <c r="R56" s="3" t="str">
        <f t="shared" si="39"/>
        <v/>
      </c>
      <c r="S56" s="3" t="str">
        <f t="shared" si="40"/>
        <v/>
      </c>
      <c r="T56" s="3" t="str">
        <f t="shared" si="41"/>
        <v/>
      </c>
      <c r="U56" s="3" t="str">
        <f t="shared" si="42"/>
        <v/>
      </c>
      <c r="V56" s="3" t="str">
        <f t="shared" si="43"/>
        <v/>
      </c>
      <c r="W56" s="3" t="str">
        <f t="shared" si="44"/>
        <v/>
      </c>
      <c r="X56" s="3" t="str">
        <f t="shared" si="45"/>
        <v/>
      </c>
      <c r="Y56" s="3" t="str">
        <f t="shared" si="46"/>
        <v>▰</v>
      </c>
      <c r="Z56" s="3" t="str">
        <f t="shared" si="47"/>
        <v>▰</v>
      </c>
      <c r="AA56" s="3" t="str">
        <f t="shared" si="48"/>
        <v>▰</v>
      </c>
      <c r="AB56" s="3" t="str">
        <f t="shared" si="49"/>
        <v>▰</v>
      </c>
      <c r="AC56" s="3" t="str">
        <f t="shared" si="50"/>
        <v>▰</v>
      </c>
      <c r="AD56" s="3" t="str">
        <f t="shared" si="51"/>
        <v>▰</v>
      </c>
      <c r="AE56" s="3" t="str">
        <f t="shared" si="52"/>
        <v/>
      </c>
      <c r="AF56" s="3" t="str">
        <f t="shared" si="53"/>
        <v/>
      </c>
      <c r="AG56" s="3" t="str">
        <f t="shared" si="54"/>
        <v/>
      </c>
      <c r="AH56" s="3" t="str">
        <f t="shared" si="55"/>
        <v/>
      </c>
    </row>
    <row r="57" spans="1:34" ht="34" customHeight="1">
      <c r="A57" s="11" t="s">
        <v>77</v>
      </c>
      <c r="B57" s="13" t="s">
        <v>108</v>
      </c>
      <c r="C57" s="13" t="s">
        <v>79</v>
      </c>
      <c r="D57" s="12">
        <v>46305</v>
      </c>
      <c r="E57" s="12">
        <v>46319</v>
      </c>
      <c r="F57" s="11">
        <f t="shared" si="28"/>
        <v>15</v>
      </c>
      <c r="G57" s="11">
        <v>0</v>
      </c>
      <c r="H57" s="11" t="str">
        <f t="shared" si="29"/>
        <v>Pendiente</v>
      </c>
      <c r="I57" s="3" t="str">
        <f t="shared" si="30"/>
        <v/>
      </c>
      <c r="J57" s="3" t="str">
        <f t="shared" si="31"/>
        <v/>
      </c>
      <c r="K57" s="3" t="str">
        <f t="shared" si="32"/>
        <v/>
      </c>
      <c r="L57" s="3" t="str">
        <f t="shared" si="33"/>
        <v/>
      </c>
      <c r="M57" s="3" t="str">
        <f t="shared" si="34"/>
        <v/>
      </c>
      <c r="N57" s="3" t="str">
        <f t="shared" si="35"/>
        <v/>
      </c>
      <c r="O57" s="3" t="str">
        <f t="shared" si="36"/>
        <v/>
      </c>
      <c r="P57" s="3" t="str">
        <f t="shared" si="37"/>
        <v/>
      </c>
      <c r="Q57" s="3" t="str">
        <f t="shared" si="38"/>
        <v/>
      </c>
      <c r="R57" s="3" t="str">
        <f t="shared" si="39"/>
        <v>▰</v>
      </c>
      <c r="S57" s="3" t="str">
        <f t="shared" si="40"/>
        <v>▰</v>
      </c>
      <c r="T57" s="3" t="str">
        <f t="shared" si="41"/>
        <v>▰</v>
      </c>
      <c r="U57" s="3" t="str">
        <f t="shared" si="42"/>
        <v>▰</v>
      </c>
      <c r="V57" s="3" t="str">
        <f t="shared" si="43"/>
        <v>▰</v>
      </c>
      <c r="W57" s="3" t="str">
        <f t="shared" si="44"/>
        <v>▰</v>
      </c>
      <c r="X57" s="3" t="str">
        <f t="shared" si="45"/>
        <v>▰</v>
      </c>
      <c r="Y57" s="3" t="str">
        <f t="shared" si="46"/>
        <v>▰</v>
      </c>
      <c r="Z57" s="3" t="str">
        <f t="shared" si="47"/>
        <v>▰</v>
      </c>
      <c r="AA57" s="3" t="str">
        <f t="shared" si="48"/>
        <v>▰</v>
      </c>
      <c r="AB57" s="3" t="str">
        <f t="shared" si="49"/>
        <v>▰</v>
      </c>
      <c r="AC57" s="3" t="str">
        <f t="shared" si="50"/>
        <v>▰</v>
      </c>
      <c r="AD57" s="3" t="str">
        <f t="shared" si="51"/>
        <v>▰</v>
      </c>
      <c r="AE57" s="3" t="str">
        <f t="shared" si="52"/>
        <v>▰</v>
      </c>
      <c r="AF57" s="3" t="str">
        <f t="shared" si="53"/>
        <v>▰</v>
      </c>
      <c r="AG57" s="3" t="str">
        <f t="shared" si="54"/>
        <v/>
      </c>
      <c r="AH57" s="3" t="str">
        <f t="shared" si="55"/>
        <v/>
      </c>
    </row>
    <row r="58" spans="1:34" ht="34" customHeight="1">
      <c r="A58" s="8" t="s">
        <v>77</v>
      </c>
      <c r="B58" s="10" t="s">
        <v>109</v>
      </c>
      <c r="C58" s="10" t="s">
        <v>79</v>
      </c>
      <c r="D58" s="9">
        <v>46315</v>
      </c>
      <c r="E58" s="9">
        <v>46319</v>
      </c>
      <c r="F58" s="8">
        <f t="shared" si="28"/>
        <v>5</v>
      </c>
      <c r="G58" s="8">
        <v>0</v>
      </c>
      <c r="H58" s="8" t="str">
        <f t="shared" si="29"/>
        <v>Pendiente</v>
      </c>
      <c r="I58" s="3" t="str">
        <f t="shared" si="30"/>
        <v/>
      </c>
      <c r="J58" s="3" t="str">
        <f t="shared" si="31"/>
        <v/>
      </c>
      <c r="K58" s="3" t="str">
        <f t="shared" si="32"/>
        <v/>
      </c>
      <c r="L58" s="3" t="str">
        <f t="shared" si="33"/>
        <v/>
      </c>
      <c r="M58" s="3" t="str">
        <f t="shared" si="34"/>
        <v/>
      </c>
      <c r="N58" s="3" t="str">
        <f t="shared" si="35"/>
        <v/>
      </c>
      <c r="O58" s="3" t="str">
        <f t="shared" si="36"/>
        <v/>
      </c>
      <c r="P58" s="3" t="str">
        <f t="shared" si="37"/>
        <v/>
      </c>
      <c r="Q58" s="3" t="str">
        <f t="shared" si="38"/>
        <v/>
      </c>
      <c r="R58" s="3" t="str">
        <f t="shared" si="39"/>
        <v/>
      </c>
      <c r="S58" s="3" t="str">
        <f t="shared" si="40"/>
        <v/>
      </c>
      <c r="T58" s="3" t="str">
        <f t="shared" si="41"/>
        <v/>
      </c>
      <c r="U58" s="3" t="str">
        <f t="shared" si="42"/>
        <v/>
      </c>
      <c r="V58" s="3" t="str">
        <f t="shared" si="43"/>
        <v/>
      </c>
      <c r="W58" s="3" t="str">
        <f t="shared" si="44"/>
        <v/>
      </c>
      <c r="X58" s="3" t="str">
        <f t="shared" si="45"/>
        <v/>
      </c>
      <c r="Y58" s="3" t="str">
        <f t="shared" si="46"/>
        <v/>
      </c>
      <c r="Z58" s="3" t="str">
        <f t="shared" si="47"/>
        <v/>
      </c>
      <c r="AA58" s="3" t="str">
        <f t="shared" si="48"/>
        <v/>
      </c>
      <c r="AB58" s="3" t="str">
        <f t="shared" si="49"/>
        <v>▰</v>
      </c>
      <c r="AC58" s="3" t="str">
        <f t="shared" si="50"/>
        <v>▰</v>
      </c>
      <c r="AD58" s="3" t="str">
        <f t="shared" si="51"/>
        <v>▰</v>
      </c>
      <c r="AE58" s="3" t="str">
        <f t="shared" si="52"/>
        <v>▰</v>
      </c>
      <c r="AF58" s="3" t="str">
        <f t="shared" si="53"/>
        <v>▰</v>
      </c>
      <c r="AG58" s="3" t="str">
        <f t="shared" si="54"/>
        <v/>
      </c>
      <c r="AH58" s="3" t="str">
        <f t="shared" si="55"/>
        <v/>
      </c>
    </row>
    <row r="59" spans="1:34" ht="34" customHeight="1">
      <c r="A59" s="11" t="s">
        <v>77</v>
      </c>
      <c r="B59" s="13" t="s">
        <v>110</v>
      </c>
      <c r="C59" s="13" t="s">
        <v>111</v>
      </c>
      <c r="D59" s="12">
        <v>46318</v>
      </c>
      <c r="E59" s="12">
        <v>46319</v>
      </c>
      <c r="F59" s="11">
        <f t="shared" si="28"/>
        <v>2</v>
      </c>
      <c r="G59" s="11">
        <v>0</v>
      </c>
      <c r="H59" s="11" t="str">
        <f t="shared" si="29"/>
        <v>Pendiente</v>
      </c>
      <c r="I59" s="3" t="str">
        <f t="shared" si="30"/>
        <v/>
      </c>
      <c r="J59" s="3" t="str">
        <f t="shared" si="31"/>
        <v/>
      </c>
      <c r="K59" s="3" t="str">
        <f t="shared" si="32"/>
        <v/>
      </c>
      <c r="L59" s="3" t="str">
        <f t="shared" si="33"/>
        <v/>
      </c>
      <c r="M59" s="3" t="str">
        <f t="shared" si="34"/>
        <v/>
      </c>
      <c r="N59" s="3" t="str">
        <f t="shared" si="35"/>
        <v/>
      </c>
      <c r="O59" s="3" t="str">
        <f t="shared" si="36"/>
        <v/>
      </c>
      <c r="P59" s="3" t="str">
        <f t="shared" si="37"/>
        <v/>
      </c>
      <c r="Q59" s="3" t="str">
        <f t="shared" si="38"/>
        <v/>
      </c>
      <c r="R59" s="3" t="str">
        <f t="shared" si="39"/>
        <v/>
      </c>
      <c r="S59" s="3" t="str">
        <f t="shared" si="40"/>
        <v/>
      </c>
      <c r="T59" s="3" t="str">
        <f t="shared" si="41"/>
        <v/>
      </c>
      <c r="U59" s="3" t="str">
        <f t="shared" si="42"/>
        <v/>
      </c>
      <c r="V59" s="3" t="str">
        <f t="shared" si="43"/>
        <v/>
      </c>
      <c r="W59" s="3" t="str">
        <f t="shared" si="44"/>
        <v/>
      </c>
      <c r="X59" s="3" t="str">
        <f t="shared" si="45"/>
        <v/>
      </c>
      <c r="Y59" s="3" t="str">
        <f t="shared" si="46"/>
        <v/>
      </c>
      <c r="Z59" s="3" t="str">
        <f t="shared" si="47"/>
        <v/>
      </c>
      <c r="AA59" s="3" t="str">
        <f t="shared" si="48"/>
        <v/>
      </c>
      <c r="AB59" s="3" t="str">
        <f t="shared" si="49"/>
        <v/>
      </c>
      <c r="AC59" s="3" t="str">
        <f t="shared" si="50"/>
        <v/>
      </c>
      <c r="AD59" s="3" t="str">
        <f t="shared" si="51"/>
        <v/>
      </c>
      <c r="AE59" s="3" t="str">
        <f t="shared" si="52"/>
        <v>▰</v>
      </c>
      <c r="AF59" s="3" t="str">
        <f t="shared" si="53"/>
        <v>▰</v>
      </c>
      <c r="AG59" s="3" t="str">
        <f t="shared" si="54"/>
        <v/>
      </c>
      <c r="AH59" s="3" t="str">
        <f t="shared" si="55"/>
        <v/>
      </c>
    </row>
    <row r="60" spans="1:34" ht="34" customHeight="1">
      <c r="A60" s="8" t="s">
        <v>77</v>
      </c>
      <c r="B60" s="10" t="s">
        <v>112</v>
      </c>
      <c r="C60" s="10" t="s">
        <v>111</v>
      </c>
      <c r="D60" s="9">
        <v>46317</v>
      </c>
      <c r="E60" s="9">
        <v>46319</v>
      </c>
      <c r="F60" s="8">
        <f t="shared" si="28"/>
        <v>3</v>
      </c>
      <c r="G60" s="8">
        <v>0</v>
      </c>
      <c r="H60" s="8" t="str">
        <f t="shared" si="29"/>
        <v>Pendiente</v>
      </c>
      <c r="I60" s="3" t="str">
        <f t="shared" si="30"/>
        <v/>
      </c>
      <c r="J60" s="3" t="str">
        <f t="shared" si="31"/>
        <v/>
      </c>
      <c r="K60" s="3" t="str">
        <f t="shared" si="32"/>
        <v/>
      </c>
      <c r="L60" s="3" t="str">
        <f t="shared" si="33"/>
        <v/>
      </c>
      <c r="M60" s="3" t="str">
        <f t="shared" si="34"/>
        <v/>
      </c>
      <c r="N60" s="3" t="str">
        <f t="shared" si="35"/>
        <v/>
      </c>
      <c r="O60" s="3" t="str">
        <f t="shared" si="36"/>
        <v/>
      </c>
      <c r="P60" s="3" t="str">
        <f t="shared" si="37"/>
        <v/>
      </c>
      <c r="Q60" s="3" t="str">
        <f t="shared" si="38"/>
        <v/>
      </c>
      <c r="R60" s="3" t="str">
        <f t="shared" si="39"/>
        <v/>
      </c>
      <c r="S60" s="3" t="str">
        <f t="shared" si="40"/>
        <v/>
      </c>
      <c r="T60" s="3" t="str">
        <f t="shared" si="41"/>
        <v/>
      </c>
      <c r="U60" s="3" t="str">
        <f t="shared" si="42"/>
        <v/>
      </c>
      <c r="V60" s="3" t="str">
        <f t="shared" si="43"/>
        <v/>
      </c>
      <c r="W60" s="3" t="str">
        <f t="shared" si="44"/>
        <v/>
      </c>
      <c r="X60" s="3" t="str">
        <f t="shared" si="45"/>
        <v/>
      </c>
      <c r="Y60" s="3" t="str">
        <f t="shared" si="46"/>
        <v/>
      </c>
      <c r="Z60" s="3" t="str">
        <f t="shared" si="47"/>
        <v/>
      </c>
      <c r="AA60" s="3" t="str">
        <f t="shared" si="48"/>
        <v/>
      </c>
      <c r="AB60" s="3" t="str">
        <f t="shared" si="49"/>
        <v/>
      </c>
      <c r="AC60" s="3" t="str">
        <f t="shared" si="50"/>
        <v/>
      </c>
      <c r="AD60" s="3" t="str">
        <f t="shared" si="51"/>
        <v>▰</v>
      </c>
      <c r="AE60" s="3" t="str">
        <f t="shared" si="52"/>
        <v>▰</v>
      </c>
      <c r="AF60" s="3" t="str">
        <f t="shared" si="53"/>
        <v>▰</v>
      </c>
      <c r="AG60" s="3" t="str">
        <f t="shared" si="54"/>
        <v/>
      </c>
      <c r="AH60" s="3" t="str">
        <f t="shared" si="55"/>
        <v/>
      </c>
    </row>
    <row r="61" spans="1:34" ht="34" customHeight="1">
      <c r="A61" s="11" t="s">
        <v>77</v>
      </c>
      <c r="B61" s="13" t="s">
        <v>113</v>
      </c>
      <c r="C61" s="13" t="s">
        <v>111</v>
      </c>
      <c r="D61" s="12">
        <v>46319</v>
      </c>
      <c r="E61" s="12">
        <v>46320</v>
      </c>
      <c r="F61" s="11">
        <f t="shared" si="28"/>
        <v>2</v>
      </c>
      <c r="G61" s="11">
        <v>0</v>
      </c>
      <c r="H61" s="11" t="str">
        <f t="shared" si="29"/>
        <v>Pendiente</v>
      </c>
      <c r="I61" s="3" t="str">
        <f t="shared" si="30"/>
        <v/>
      </c>
      <c r="J61" s="3" t="str">
        <f t="shared" si="31"/>
        <v/>
      </c>
      <c r="K61" s="3" t="str">
        <f t="shared" si="32"/>
        <v/>
      </c>
      <c r="L61" s="3" t="str">
        <f t="shared" si="33"/>
        <v/>
      </c>
      <c r="M61" s="3" t="str">
        <f t="shared" si="34"/>
        <v/>
      </c>
      <c r="N61" s="3" t="str">
        <f t="shared" si="35"/>
        <v/>
      </c>
      <c r="O61" s="3" t="str">
        <f t="shared" si="36"/>
        <v/>
      </c>
      <c r="P61" s="3" t="str">
        <f t="shared" si="37"/>
        <v/>
      </c>
      <c r="Q61" s="3" t="str">
        <f t="shared" si="38"/>
        <v/>
      </c>
      <c r="R61" s="3" t="str">
        <f t="shared" si="39"/>
        <v/>
      </c>
      <c r="S61" s="3" t="str">
        <f t="shared" si="40"/>
        <v/>
      </c>
      <c r="T61" s="3" t="str">
        <f t="shared" si="41"/>
        <v/>
      </c>
      <c r="U61" s="3" t="str">
        <f t="shared" si="42"/>
        <v/>
      </c>
      <c r="V61" s="3" t="str">
        <f t="shared" si="43"/>
        <v/>
      </c>
      <c r="W61" s="3" t="str">
        <f t="shared" si="44"/>
        <v/>
      </c>
      <c r="X61" s="3" t="str">
        <f t="shared" si="45"/>
        <v/>
      </c>
      <c r="Y61" s="3" t="str">
        <f t="shared" si="46"/>
        <v/>
      </c>
      <c r="Z61" s="3" t="str">
        <f t="shared" si="47"/>
        <v/>
      </c>
      <c r="AA61" s="3" t="str">
        <f t="shared" si="48"/>
        <v/>
      </c>
      <c r="AB61" s="3" t="str">
        <f t="shared" si="49"/>
        <v/>
      </c>
      <c r="AC61" s="3" t="str">
        <f t="shared" si="50"/>
        <v/>
      </c>
      <c r="AD61" s="3" t="str">
        <f t="shared" si="51"/>
        <v/>
      </c>
      <c r="AE61" s="3" t="str">
        <f t="shared" si="52"/>
        <v/>
      </c>
      <c r="AF61" s="3" t="str">
        <f t="shared" si="53"/>
        <v>▰</v>
      </c>
      <c r="AG61" s="3" t="str">
        <f t="shared" si="54"/>
        <v>▰</v>
      </c>
      <c r="AH61" s="3" t="str">
        <f t="shared" si="55"/>
        <v/>
      </c>
    </row>
    <row r="62" spans="1:34" ht="34" customHeight="1">
      <c r="A62" s="8" t="s">
        <v>77</v>
      </c>
      <c r="B62" s="10" t="s">
        <v>114</v>
      </c>
      <c r="C62" s="10" t="s">
        <v>79</v>
      </c>
      <c r="D62" s="9">
        <v>46320</v>
      </c>
      <c r="E62" s="9">
        <v>46320</v>
      </c>
      <c r="F62" s="8">
        <f t="shared" si="28"/>
        <v>1</v>
      </c>
      <c r="G62" s="8">
        <v>0</v>
      </c>
      <c r="H62" s="8" t="str">
        <f t="shared" si="29"/>
        <v>Pendiente</v>
      </c>
      <c r="I62" s="3" t="str">
        <f t="shared" si="30"/>
        <v/>
      </c>
      <c r="J62" s="3" t="str">
        <f t="shared" si="31"/>
        <v/>
      </c>
      <c r="K62" s="3" t="str">
        <f t="shared" si="32"/>
        <v/>
      </c>
      <c r="L62" s="3" t="str">
        <f t="shared" si="33"/>
        <v/>
      </c>
      <c r="M62" s="3" t="str">
        <f t="shared" si="34"/>
        <v/>
      </c>
      <c r="N62" s="3" t="str">
        <f t="shared" si="35"/>
        <v/>
      </c>
      <c r="O62" s="3" t="str">
        <f t="shared" si="36"/>
        <v/>
      </c>
      <c r="P62" s="3" t="str">
        <f t="shared" si="37"/>
        <v/>
      </c>
      <c r="Q62" s="3" t="str">
        <f t="shared" si="38"/>
        <v/>
      </c>
      <c r="R62" s="3" t="str">
        <f t="shared" si="39"/>
        <v/>
      </c>
      <c r="S62" s="3" t="str">
        <f t="shared" si="40"/>
        <v/>
      </c>
      <c r="T62" s="3" t="str">
        <f t="shared" si="41"/>
        <v/>
      </c>
      <c r="U62" s="3" t="str">
        <f t="shared" si="42"/>
        <v/>
      </c>
      <c r="V62" s="3" t="str">
        <f t="shared" si="43"/>
        <v/>
      </c>
      <c r="W62" s="3" t="str">
        <f t="shared" si="44"/>
        <v/>
      </c>
      <c r="X62" s="3" t="str">
        <f t="shared" si="45"/>
        <v/>
      </c>
      <c r="Y62" s="3" t="str">
        <f t="shared" si="46"/>
        <v/>
      </c>
      <c r="Z62" s="3" t="str">
        <f t="shared" si="47"/>
        <v/>
      </c>
      <c r="AA62" s="3" t="str">
        <f t="shared" si="48"/>
        <v/>
      </c>
      <c r="AB62" s="3" t="str">
        <f t="shared" si="49"/>
        <v/>
      </c>
      <c r="AC62" s="3" t="str">
        <f t="shared" si="50"/>
        <v/>
      </c>
      <c r="AD62" s="3" t="str">
        <f t="shared" si="51"/>
        <v/>
      </c>
      <c r="AE62" s="3" t="str">
        <f t="shared" si="52"/>
        <v/>
      </c>
      <c r="AF62" s="3" t="str">
        <f t="shared" si="53"/>
        <v/>
      </c>
      <c r="AG62" s="3" t="str">
        <f t="shared" si="54"/>
        <v>▰</v>
      </c>
      <c r="AH62" s="3" t="str">
        <f t="shared" si="55"/>
        <v/>
      </c>
    </row>
    <row r="63" spans="1:34" ht="34" customHeight="1">
      <c r="A63" s="11" t="s">
        <v>77</v>
      </c>
      <c r="B63" s="13" t="s">
        <v>115</v>
      </c>
      <c r="C63" s="13" t="s">
        <v>81</v>
      </c>
      <c r="D63" s="12">
        <v>46321</v>
      </c>
      <c r="E63" s="12">
        <v>46321</v>
      </c>
      <c r="F63" s="11">
        <f t="shared" si="28"/>
        <v>1</v>
      </c>
      <c r="G63" s="11">
        <v>0</v>
      </c>
      <c r="H63" s="11" t="str">
        <f t="shared" si="29"/>
        <v>Pendiente</v>
      </c>
      <c r="I63" s="3" t="str">
        <f t="shared" si="30"/>
        <v/>
      </c>
      <c r="J63" s="3" t="str">
        <f t="shared" si="31"/>
        <v/>
      </c>
      <c r="K63" s="3" t="str">
        <f t="shared" si="32"/>
        <v/>
      </c>
      <c r="L63" s="3" t="str">
        <f t="shared" si="33"/>
        <v/>
      </c>
      <c r="M63" s="3" t="str">
        <f t="shared" si="34"/>
        <v/>
      </c>
      <c r="N63" s="3" t="str">
        <f t="shared" si="35"/>
        <v/>
      </c>
      <c r="O63" s="3" t="str">
        <f t="shared" si="36"/>
        <v/>
      </c>
      <c r="P63" s="3" t="str">
        <f t="shared" si="37"/>
        <v/>
      </c>
      <c r="Q63" s="3" t="str">
        <f t="shared" si="38"/>
        <v/>
      </c>
      <c r="R63" s="3" t="str">
        <f t="shared" si="39"/>
        <v/>
      </c>
      <c r="S63" s="3" t="str">
        <f t="shared" si="40"/>
        <v/>
      </c>
      <c r="T63" s="3" t="str">
        <f t="shared" si="41"/>
        <v/>
      </c>
      <c r="U63" s="3" t="str">
        <f t="shared" si="42"/>
        <v/>
      </c>
      <c r="V63" s="3" t="str">
        <f t="shared" si="43"/>
        <v/>
      </c>
      <c r="W63" s="3" t="str">
        <f t="shared" si="44"/>
        <v/>
      </c>
      <c r="X63" s="3" t="str">
        <f t="shared" si="45"/>
        <v/>
      </c>
      <c r="Y63" s="3" t="str">
        <f t="shared" si="46"/>
        <v/>
      </c>
      <c r="Z63" s="3" t="str">
        <f t="shared" si="47"/>
        <v/>
      </c>
      <c r="AA63" s="3" t="str">
        <f t="shared" si="48"/>
        <v/>
      </c>
      <c r="AB63" s="3" t="str">
        <f t="shared" si="49"/>
        <v/>
      </c>
      <c r="AC63" s="3" t="str">
        <f t="shared" si="50"/>
        <v/>
      </c>
      <c r="AD63" s="3" t="str">
        <f t="shared" si="51"/>
        <v/>
      </c>
      <c r="AE63" s="3" t="str">
        <f t="shared" si="52"/>
        <v/>
      </c>
      <c r="AF63" s="3" t="str">
        <f t="shared" si="53"/>
        <v/>
      </c>
      <c r="AG63" s="3" t="str">
        <f t="shared" si="54"/>
        <v/>
      </c>
      <c r="AH63" s="3" t="str">
        <f t="shared" si="55"/>
        <v>▰</v>
      </c>
    </row>
    <row r="64" spans="1:34" ht="23" customHeight="1">
      <c r="D64" s="2"/>
      <c r="E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4:34" ht="23" customHeight="1">
      <c r="D65" s="2"/>
      <c r="E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4:34" ht="23" customHeight="1">
      <c r="D66" s="2"/>
      <c r="E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4:34" ht="23" customHeight="1">
      <c r="D67" s="2"/>
      <c r="E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4:34" ht="23" customHeight="1">
      <c r="D68" s="2"/>
      <c r="E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4:34" ht="23" customHeight="1">
      <c r="D69" s="2"/>
      <c r="E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4:34" ht="23" customHeight="1">
      <c r="D70" s="2"/>
      <c r="E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4:34" ht="23" customHeight="1">
      <c r="D71" s="2"/>
      <c r="E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4:34" ht="23" customHeight="1">
      <c r="D72" s="2"/>
      <c r="E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4:34" ht="23" customHeight="1">
      <c r="D73" s="2"/>
      <c r="E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4:34" ht="23" customHeight="1">
      <c r="D74" s="2"/>
      <c r="E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4:34" ht="23" customHeight="1">
      <c r="D75" s="2"/>
      <c r="E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4:34" ht="23" customHeight="1">
      <c r="D76" s="2"/>
      <c r="E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4:34" ht="23" customHeight="1">
      <c r="D77" s="2"/>
      <c r="E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4:34" ht="23" customHeight="1">
      <c r="D78" s="2"/>
      <c r="E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4:34" ht="23" customHeight="1">
      <c r="D79" s="2"/>
      <c r="E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4:34" ht="23" customHeight="1">
      <c r="D80" s="2"/>
      <c r="E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ht="23" customHeight="1">
      <c r="D81" s="2"/>
      <c r="E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ht="23" customHeight="1">
      <c r="D82" s="2"/>
      <c r="E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ht="23" customHeight="1">
      <c r="D83" s="2"/>
      <c r="E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ht="23" customHeight="1">
      <c r="D84" s="2"/>
      <c r="E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ht="23" customHeight="1">
      <c r="A85" s="6"/>
      <c r="B85" s="6"/>
      <c r="C85" s="6"/>
      <c r="D85" s="7"/>
      <c r="E85" s="7"/>
      <c r="F85" s="6"/>
      <c r="G85" s="6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ht="23" customHeight="1">
      <c r="D86" s="2"/>
      <c r="E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</sheetData>
  <mergeCells count="2">
    <mergeCell ref="A1:AI2"/>
    <mergeCell ref="A3:AI3"/>
  </mergeCells>
  <conditionalFormatting sqref="G7:G86">
    <cfRule type="dataBar" priority="1">
      <dataBar>
        <cfvo type="min"/>
        <cfvo type="max"/>
        <color rgb="FF35A968"/>
      </dataBar>
    </cfRule>
    <cfRule type="dataBar" priority="3">
      <dataBar>
        <cfvo type="min"/>
        <cfvo type="max"/>
        <color rgb="FF35A968"/>
      </dataBar>
      <extLst>
        <ext xmlns:x14="http://schemas.microsoft.com/office/spreadsheetml/2009/9/main" uri="{B025F937-C7B1-47D3-B67F-A62EFF666E3E}">
          <x14:id>{E89D8680-0A3E-6E0B-533A-6A1F366AAEE5}</x14:id>
        </ext>
      </extLst>
    </cfRule>
  </conditionalFormatting>
  <conditionalFormatting sqref="I7:AH86">
    <cfRule type="expression" dxfId="1" priority="2">
      <formula>AND(I$6&lt;&gt;"",DATE(2026,10,COLUMN()-8)&gt;=$D7,DATE(2026,10,COLUMN()-8)&lt;=$E7)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9D8680-0A3E-6E0B-533A-6A1F366AAEE5}">
            <x14:dataBar gradient="0">
              <x14:cfvo type="min"/>
              <x14:cfvo type="max"/>
              <x14:negativeFillColor auto="1"/>
              <x14:axisColor auto="1"/>
            </x14:dataBar>
          </x14:cfRule>
          <xm:sqref>G7:G86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9F1D-435B-4C9E-8CD3-1B3EDA049391}">
  <dimension ref="A1:AI86"/>
  <sheetViews>
    <sheetView tabSelected="1" zoomScale="55" zoomScaleNormal="44" workbookViewId="0">
      <pane ySplit="6" topLeftCell="A27" activePane="bottomLeft" state="frozen"/>
      <selection pane="bottomLeft" activeCell="G42" sqref="G42"/>
    </sheetView>
  </sheetViews>
  <sheetFormatPr baseColWidth="10" defaultColWidth="8.6640625" defaultRowHeight="14"/>
  <cols>
    <col min="1" max="1" width="12" customWidth="1"/>
    <col min="2" max="2" width="54" customWidth="1"/>
    <col min="3" max="3" width="29" customWidth="1"/>
    <col min="4" max="5" width="15" customWidth="1"/>
    <col min="6" max="6" width="17" customWidth="1"/>
    <col min="7" max="7" width="28.83203125" customWidth="1"/>
    <col min="8" max="8" width="17" customWidth="1"/>
    <col min="9" max="34" width="9" customWidth="1"/>
  </cols>
  <sheetData>
    <row r="1" spans="1: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1: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5" ht="25" customHeight="1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6" spans="1:35" ht="30" customHeight="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31</v>
      </c>
      <c r="AE6" s="1" t="s">
        <v>32</v>
      </c>
      <c r="AF6" s="1" t="s">
        <v>33</v>
      </c>
      <c r="AG6" s="1" t="s">
        <v>34</v>
      </c>
      <c r="AH6" s="1" t="s">
        <v>35</v>
      </c>
    </row>
    <row r="7" spans="1:35" ht="23" customHeight="1">
      <c r="A7" s="4" t="s">
        <v>36</v>
      </c>
      <c r="B7" s="4" t="s">
        <v>37</v>
      </c>
      <c r="C7" s="4" t="s">
        <v>38</v>
      </c>
      <c r="D7" s="5">
        <v>46296</v>
      </c>
      <c r="E7" s="5">
        <v>46296</v>
      </c>
      <c r="F7" s="4">
        <f t="shared" ref="F7:F63" si="0">E7-D7+1</f>
        <v>1</v>
      </c>
      <c r="G7" s="4">
        <v>100</v>
      </c>
      <c r="H7" s="4" t="str">
        <f t="shared" ref="H7:H63" si="1">IF(G7=100,"Completado",IF(G7=0,"Pendiente","En progreso"))</f>
        <v>Completado</v>
      </c>
      <c r="I7" s="3" t="str">
        <f t="shared" ref="I7:I63" si="2">IF(AND(DATE(2026,10,1)&gt;=$D7,DATE(2026,10,1)&lt;=$E7),IF($G7=100,"■","▰"),"")</f>
        <v>■</v>
      </c>
      <c r="J7" s="3" t="str">
        <f t="shared" ref="J7:J63" si="3">IF(AND(DATE(2026,10,2)&gt;=$D7,DATE(2026,10,2)&lt;=$E7),IF($G7=100,"■","▰"),"")</f>
        <v/>
      </c>
      <c r="K7" s="3" t="str">
        <f t="shared" ref="K7:K63" si="4">IF(AND(DATE(2026,10,3)&gt;=$D7,DATE(2026,10,3)&lt;=$E7),IF($G7=100,"■","▰"),"")</f>
        <v/>
      </c>
      <c r="L7" s="3" t="str">
        <f t="shared" ref="L7:L63" si="5">IF(AND(DATE(2026,10,4)&gt;=$D7,DATE(2026,10,4)&lt;=$E7),IF($G7=100,"■","▰"),"")</f>
        <v/>
      </c>
      <c r="M7" s="3" t="str">
        <f t="shared" ref="M7:M63" si="6">IF(AND(DATE(2026,10,5)&gt;=$D7,DATE(2026,10,5)&lt;=$E7),IF($G7=100,"■","▰"),"")</f>
        <v/>
      </c>
      <c r="N7" s="3" t="str">
        <f t="shared" ref="N7:N63" si="7">IF(AND(DATE(2026,10,6)&gt;=$D7,DATE(2026,10,6)&lt;=$E7),IF($G7=100,"■","▰"),"")</f>
        <v/>
      </c>
      <c r="O7" s="3" t="str">
        <f t="shared" ref="O7:O63" si="8">IF(AND(DATE(2026,10,7)&gt;=$D7,DATE(2026,10,7)&lt;=$E7),IF($G7=100,"■","▰"),"")</f>
        <v/>
      </c>
      <c r="P7" s="3" t="str">
        <f t="shared" ref="P7:P63" si="9">IF(AND(DATE(2026,10,8)&gt;=$D7,DATE(2026,10,8)&lt;=$E7),IF($G7=100,"■","▰"),"")</f>
        <v/>
      </c>
      <c r="Q7" s="3" t="str">
        <f t="shared" ref="Q7:Q63" si="10">IF(AND(DATE(2026,10,9)&gt;=$D7,DATE(2026,10,9)&lt;=$E7),IF($G7=100,"■","▰"),"")</f>
        <v/>
      </c>
      <c r="R7" s="3" t="str">
        <f t="shared" ref="R7:R63" si="11">IF(AND(DATE(2026,10,10)&gt;=$D7,DATE(2026,10,10)&lt;=$E7),IF($G7=100,"■","▰"),"")</f>
        <v/>
      </c>
      <c r="S7" s="3" t="str">
        <f t="shared" ref="S7:S63" si="12">IF(AND(DATE(2026,10,11)&gt;=$D7,DATE(2026,10,11)&lt;=$E7),IF($G7=100,"■","▰"),"")</f>
        <v/>
      </c>
      <c r="T7" s="3" t="str">
        <f t="shared" ref="T7:T63" si="13">IF(AND(DATE(2026,10,12)&gt;=$D7,DATE(2026,10,12)&lt;=$E7),IF($G7=100,"■","▰"),"")</f>
        <v/>
      </c>
      <c r="U7" s="3" t="str">
        <f t="shared" ref="U7:U63" si="14">IF(AND(DATE(2026,10,13)&gt;=$D7,DATE(2026,10,13)&lt;=$E7),IF($G7=100,"■","▰"),"")</f>
        <v/>
      </c>
      <c r="V7" s="3" t="str">
        <f t="shared" ref="V7:V63" si="15">IF(AND(DATE(2026,10,14)&gt;=$D7,DATE(2026,10,14)&lt;=$E7),IF($G7=100,"■","▰"),"")</f>
        <v/>
      </c>
      <c r="W7" s="3" t="str">
        <f t="shared" ref="W7:W63" si="16">IF(AND(DATE(2026,10,15)&gt;=$D7,DATE(2026,10,15)&lt;=$E7),IF($G7=100,"■","▰"),"")</f>
        <v/>
      </c>
      <c r="X7" s="3" t="str">
        <f t="shared" ref="X7:X63" si="17">IF(AND(DATE(2026,10,16)&gt;=$D7,DATE(2026,10,16)&lt;=$E7),IF($G7=100,"■","▰"),"")</f>
        <v/>
      </c>
      <c r="Y7" s="3" t="str">
        <f t="shared" ref="Y7:Y63" si="18">IF(AND(DATE(2026,10,17)&gt;=$D7,DATE(2026,10,17)&lt;=$E7),IF($G7=100,"■","▰"),"")</f>
        <v/>
      </c>
      <c r="Z7" s="3" t="str">
        <f t="shared" ref="Z7:Z63" si="19">IF(AND(DATE(2026,10,18)&gt;=$D7,DATE(2026,10,18)&lt;=$E7),IF($G7=100,"■","▰"),"")</f>
        <v/>
      </c>
      <c r="AA7" s="3" t="str">
        <f t="shared" ref="AA7:AA63" si="20">IF(AND(DATE(2026,10,19)&gt;=$D7,DATE(2026,10,19)&lt;=$E7),IF($G7=100,"■","▰"),"")</f>
        <v/>
      </c>
      <c r="AB7" s="3" t="str">
        <f t="shared" ref="AB7:AB63" si="21">IF(AND(DATE(2026,10,20)&gt;=$D7,DATE(2026,10,20)&lt;=$E7),IF($G7=100,"■","▰"),"")</f>
        <v/>
      </c>
      <c r="AC7" s="3" t="str">
        <f t="shared" ref="AC7:AC63" si="22">IF(AND(DATE(2026,10,21)&gt;=$D7,DATE(2026,10,21)&lt;=$E7),IF($G7=100,"■","▰"),"")</f>
        <v/>
      </c>
      <c r="AD7" s="3" t="str">
        <f t="shared" ref="AD7:AD63" si="23">IF(AND(DATE(2026,10,22)&gt;=$D7,DATE(2026,10,22)&lt;=$E7),IF($G7=100,"■","▰"),"")</f>
        <v/>
      </c>
      <c r="AE7" s="3" t="str">
        <f t="shared" ref="AE7:AE63" si="24">IF(AND(DATE(2026,10,23)&gt;=$D7,DATE(2026,10,23)&lt;=$E7),IF($G7=100,"■","▰"),"")</f>
        <v/>
      </c>
      <c r="AF7" s="3" t="str">
        <f t="shared" ref="AF7:AF63" si="25">IF(AND(DATE(2026,10,24)&gt;=$D7,DATE(2026,10,24)&lt;=$E7),IF($G7=100,"■","▰"),"")</f>
        <v/>
      </c>
      <c r="AG7" s="3" t="str">
        <f t="shared" ref="AG7:AG63" si="26">IF(AND(DATE(2026,10,25)&gt;=$D7,DATE(2026,10,25)&lt;=$E7),IF($G7=100,"■","▰"),"")</f>
        <v/>
      </c>
      <c r="AH7" s="3" t="str">
        <f t="shared" ref="AH7:AH63" si="27">IF(AND(DATE(2026,10,26)&gt;=$D7,DATE(2026,10,26)&lt;=$E7),IF($G7=100,"■","▰"),"")</f>
        <v/>
      </c>
    </row>
    <row r="8" spans="1:35" ht="23" customHeight="1">
      <c r="A8" t="s">
        <v>36</v>
      </c>
      <c r="B8" t="s">
        <v>39</v>
      </c>
      <c r="C8" t="s">
        <v>38</v>
      </c>
      <c r="D8" s="2">
        <v>46296</v>
      </c>
      <c r="E8" s="2">
        <v>46296</v>
      </c>
      <c r="F8">
        <f t="shared" si="0"/>
        <v>1</v>
      </c>
      <c r="G8">
        <v>100</v>
      </c>
      <c r="H8" t="str">
        <f t="shared" si="1"/>
        <v>Completado</v>
      </c>
      <c r="I8" s="3" t="str">
        <f t="shared" si="2"/>
        <v>■</v>
      </c>
      <c r="J8" s="3" t="str">
        <f t="shared" si="3"/>
        <v/>
      </c>
      <c r="K8" s="3" t="str">
        <f t="shared" si="4"/>
        <v/>
      </c>
      <c r="L8" s="3" t="str">
        <f t="shared" si="5"/>
        <v/>
      </c>
      <c r="M8" s="3" t="str">
        <f t="shared" si="6"/>
        <v/>
      </c>
      <c r="N8" s="3" t="str">
        <f t="shared" si="7"/>
        <v/>
      </c>
      <c r="O8" s="3" t="str">
        <f t="shared" si="8"/>
        <v/>
      </c>
      <c r="P8" s="3" t="str">
        <f t="shared" si="9"/>
        <v/>
      </c>
      <c r="Q8" s="3" t="str">
        <f t="shared" si="10"/>
        <v/>
      </c>
      <c r="R8" s="3" t="str">
        <f t="shared" si="11"/>
        <v/>
      </c>
      <c r="S8" s="3" t="str">
        <f t="shared" si="12"/>
        <v/>
      </c>
      <c r="T8" s="3" t="str">
        <f t="shared" si="13"/>
        <v/>
      </c>
      <c r="U8" s="3" t="str">
        <f t="shared" si="14"/>
        <v/>
      </c>
      <c r="V8" s="3" t="str">
        <f t="shared" si="15"/>
        <v/>
      </c>
      <c r="W8" s="3" t="str">
        <f t="shared" si="16"/>
        <v/>
      </c>
      <c r="X8" s="3" t="str">
        <f t="shared" si="17"/>
        <v/>
      </c>
      <c r="Y8" s="3" t="str">
        <f t="shared" si="18"/>
        <v/>
      </c>
      <c r="Z8" s="3" t="str">
        <f t="shared" si="19"/>
        <v/>
      </c>
      <c r="AA8" s="3" t="str">
        <f t="shared" si="20"/>
        <v/>
      </c>
      <c r="AB8" s="3" t="str">
        <f t="shared" si="21"/>
        <v/>
      </c>
      <c r="AC8" s="3" t="str">
        <f t="shared" si="22"/>
        <v/>
      </c>
      <c r="AD8" s="3" t="str">
        <f t="shared" si="23"/>
        <v/>
      </c>
      <c r="AE8" s="3" t="str">
        <f t="shared" si="24"/>
        <v/>
      </c>
      <c r="AF8" s="3" t="str">
        <f t="shared" si="25"/>
        <v/>
      </c>
      <c r="AG8" s="3" t="str">
        <f t="shared" si="26"/>
        <v/>
      </c>
      <c r="AH8" s="3" t="str">
        <f t="shared" si="27"/>
        <v/>
      </c>
    </row>
    <row r="9" spans="1:35" ht="23" customHeight="1">
      <c r="A9" t="s">
        <v>36</v>
      </c>
      <c r="B9" t="s">
        <v>40</v>
      </c>
      <c r="C9" t="s">
        <v>38</v>
      </c>
      <c r="D9" s="2">
        <v>46296</v>
      </c>
      <c r="E9" s="2">
        <v>46296</v>
      </c>
      <c r="F9">
        <f t="shared" si="0"/>
        <v>1</v>
      </c>
      <c r="G9">
        <v>100</v>
      </c>
      <c r="H9" t="str">
        <f t="shared" si="1"/>
        <v>Completado</v>
      </c>
      <c r="I9" s="3" t="str">
        <f t="shared" si="2"/>
        <v>■</v>
      </c>
      <c r="J9" s="3" t="str">
        <f t="shared" si="3"/>
        <v/>
      </c>
      <c r="K9" s="3" t="str">
        <f t="shared" si="4"/>
        <v/>
      </c>
      <c r="L9" s="3" t="str">
        <f t="shared" si="5"/>
        <v/>
      </c>
      <c r="M9" s="3" t="str">
        <f t="shared" si="6"/>
        <v/>
      </c>
      <c r="N9" s="3" t="str">
        <f t="shared" si="7"/>
        <v/>
      </c>
      <c r="O9" s="3" t="str">
        <f t="shared" si="8"/>
        <v/>
      </c>
      <c r="P9" s="3" t="str">
        <f t="shared" si="9"/>
        <v/>
      </c>
      <c r="Q9" s="3" t="str">
        <f t="shared" si="10"/>
        <v/>
      </c>
      <c r="R9" s="3" t="str">
        <f t="shared" si="11"/>
        <v/>
      </c>
      <c r="S9" s="3" t="str">
        <f t="shared" si="12"/>
        <v/>
      </c>
      <c r="T9" s="3" t="str">
        <f t="shared" si="13"/>
        <v/>
      </c>
      <c r="U9" s="3" t="str">
        <f t="shared" si="14"/>
        <v/>
      </c>
      <c r="V9" s="3" t="str">
        <f t="shared" si="15"/>
        <v/>
      </c>
      <c r="W9" s="3" t="str">
        <f t="shared" si="16"/>
        <v/>
      </c>
      <c r="X9" s="3" t="str">
        <f t="shared" si="17"/>
        <v/>
      </c>
      <c r="Y9" s="3" t="str">
        <f t="shared" si="18"/>
        <v/>
      </c>
      <c r="Z9" s="3" t="str">
        <f t="shared" si="19"/>
        <v/>
      </c>
      <c r="AA9" s="3" t="str">
        <f t="shared" si="20"/>
        <v/>
      </c>
      <c r="AB9" s="3" t="str">
        <f t="shared" si="21"/>
        <v/>
      </c>
      <c r="AC9" s="3" t="str">
        <f t="shared" si="22"/>
        <v/>
      </c>
      <c r="AD9" s="3" t="str">
        <f t="shared" si="23"/>
        <v/>
      </c>
      <c r="AE9" s="3" t="str">
        <f t="shared" si="24"/>
        <v/>
      </c>
      <c r="AF9" s="3" t="str">
        <f t="shared" si="25"/>
        <v/>
      </c>
      <c r="AG9" s="3" t="str">
        <f t="shared" si="26"/>
        <v/>
      </c>
      <c r="AH9" s="3" t="str">
        <f t="shared" si="27"/>
        <v/>
      </c>
    </row>
    <row r="10" spans="1:35" ht="23" customHeight="1">
      <c r="A10" t="s">
        <v>36</v>
      </c>
      <c r="B10" t="s">
        <v>41</v>
      </c>
      <c r="C10" t="s">
        <v>38</v>
      </c>
      <c r="D10" s="2">
        <v>46296</v>
      </c>
      <c r="E10" s="2">
        <v>46296</v>
      </c>
      <c r="F10">
        <f t="shared" si="0"/>
        <v>1</v>
      </c>
      <c r="G10">
        <v>100</v>
      </c>
      <c r="H10" t="str">
        <f t="shared" si="1"/>
        <v>Completado</v>
      </c>
      <c r="I10" s="3" t="str">
        <f t="shared" si="2"/>
        <v>■</v>
      </c>
      <c r="J10" s="3" t="str">
        <f t="shared" si="3"/>
        <v/>
      </c>
      <c r="K10" s="3" t="str">
        <f t="shared" si="4"/>
        <v/>
      </c>
      <c r="L10" s="3" t="str">
        <f t="shared" si="5"/>
        <v/>
      </c>
      <c r="M10" s="3" t="str">
        <f t="shared" si="6"/>
        <v/>
      </c>
      <c r="N10" s="3" t="str">
        <f t="shared" si="7"/>
        <v/>
      </c>
      <c r="O10" s="3" t="str">
        <f t="shared" si="8"/>
        <v/>
      </c>
      <c r="P10" s="3" t="str">
        <f t="shared" si="9"/>
        <v/>
      </c>
      <c r="Q10" s="3" t="str">
        <f t="shared" si="10"/>
        <v/>
      </c>
      <c r="R10" s="3" t="str">
        <f t="shared" si="11"/>
        <v/>
      </c>
      <c r="S10" s="3" t="str">
        <f t="shared" si="12"/>
        <v/>
      </c>
      <c r="T10" s="3" t="str">
        <f t="shared" si="13"/>
        <v/>
      </c>
      <c r="U10" s="3" t="str">
        <f t="shared" si="14"/>
        <v/>
      </c>
      <c r="V10" s="3" t="str">
        <f t="shared" si="15"/>
        <v/>
      </c>
      <c r="W10" s="3" t="str">
        <f t="shared" si="16"/>
        <v/>
      </c>
      <c r="X10" s="3" t="str">
        <f t="shared" si="17"/>
        <v/>
      </c>
      <c r="Y10" s="3" t="str">
        <f t="shared" si="18"/>
        <v/>
      </c>
      <c r="Z10" s="3" t="str">
        <f t="shared" si="19"/>
        <v/>
      </c>
      <c r="AA10" s="3" t="str">
        <f t="shared" si="20"/>
        <v/>
      </c>
      <c r="AB10" s="3" t="str">
        <f t="shared" si="21"/>
        <v/>
      </c>
      <c r="AC10" s="3" t="str">
        <f t="shared" si="22"/>
        <v/>
      </c>
      <c r="AD10" s="3" t="str">
        <f t="shared" si="23"/>
        <v/>
      </c>
      <c r="AE10" s="3" t="str">
        <f t="shared" si="24"/>
        <v/>
      </c>
      <c r="AF10" s="3" t="str">
        <f t="shared" si="25"/>
        <v/>
      </c>
      <c r="AG10" s="3" t="str">
        <f t="shared" si="26"/>
        <v/>
      </c>
      <c r="AH10" s="3" t="str">
        <f t="shared" si="27"/>
        <v/>
      </c>
    </row>
    <row r="11" spans="1:35" ht="23" customHeight="1">
      <c r="A11" t="s">
        <v>36</v>
      </c>
      <c r="B11" t="s">
        <v>42</v>
      </c>
      <c r="C11" t="s">
        <v>43</v>
      </c>
      <c r="D11" s="2">
        <v>46297</v>
      </c>
      <c r="E11" s="2">
        <v>46297</v>
      </c>
      <c r="F11">
        <f t="shared" si="0"/>
        <v>1</v>
      </c>
      <c r="G11">
        <v>100</v>
      </c>
      <c r="H11" t="str">
        <f t="shared" si="1"/>
        <v>Completado</v>
      </c>
      <c r="I11" s="3" t="str">
        <f t="shared" si="2"/>
        <v/>
      </c>
      <c r="J11" s="3" t="str">
        <f t="shared" si="3"/>
        <v>■</v>
      </c>
      <c r="K11" s="3" t="str">
        <f t="shared" si="4"/>
        <v/>
      </c>
      <c r="L11" s="3" t="str">
        <f t="shared" si="5"/>
        <v/>
      </c>
      <c r="M11" s="3" t="str">
        <f t="shared" si="6"/>
        <v/>
      </c>
      <c r="N11" s="3" t="str">
        <f t="shared" si="7"/>
        <v/>
      </c>
      <c r="O11" s="3" t="str">
        <f t="shared" si="8"/>
        <v/>
      </c>
      <c r="P11" s="3" t="str">
        <f t="shared" si="9"/>
        <v/>
      </c>
      <c r="Q11" s="3" t="str">
        <f t="shared" si="10"/>
        <v/>
      </c>
      <c r="R11" s="3" t="str">
        <f t="shared" si="11"/>
        <v/>
      </c>
      <c r="S11" s="3" t="str">
        <f t="shared" si="12"/>
        <v/>
      </c>
      <c r="T11" s="3" t="str">
        <f t="shared" si="13"/>
        <v/>
      </c>
      <c r="U11" s="3" t="str">
        <f t="shared" si="14"/>
        <v/>
      </c>
      <c r="V11" s="3" t="str">
        <f t="shared" si="15"/>
        <v/>
      </c>
      <c r="W11" s="3" t="str">
        <f t="shared" si="16"/>
        <v/>
      </c>
      <c r="X11" s="3" t="str">
        <f t="shared" si="17"/>
        <v/>
      </c>
      <c r="Y11" s="3" t="str">
        <f t="shared" si="18"/>
        <v/>
      </c>
      <c r="Z11" s="3" t="str">
        <f t="shared" si="19"/>
        <v/>
      </c>
      <c r="AA11" s="3" t="str">
        <f t="shared" si="20"/>
        <v/>
      </c>
      <c r="AB11" s="3" t="str">
        <f t="shared" si="21"/>
        <v/>
      </c>
      <c r="AC11" s="3" t="str">
        <f t="shared" si="22"/>
        <v/>
      </c>
      <c r="AD11" s="3" t="str">
        <f t="shared" si="23"/>
        <v/>
      </c>
      <c r="AE11" s="3" t="str">
        <f t="shared" si="24"/>
        <v/>
      </c>
      <c r="AF11" s="3" t="str">
        <f t="shared" si="25"/>
        <v/>
      </c>
      <c r="AG11" s="3" t="str">
        <f t="shared" si="26"/>
        <v/>
      </c>
      <c r="AH11" s="3" t="str">
        <f t="shared" si="27"/>
        <v/>
      </c>
    </row>
    <row r="12" spans="1:35" ht="23" customHeight="1">
      <c r="A12" t="s">
        <v>36</v>
      </c>
      <c r="B12" t="s">
        <v>44</v>
      </c>
      <c r="C12" t="s">
        <v>45</v>
      </c>
      <c r="D12" s="2">
        <v>46297</v>
      </c>
      <c r="E12" s="2">
        <v>46297</v>
      </c>
      <c r="F12">
        <f t="shared" si="0"/>
        <v>1</v>
      </c>
      <c r="G12">
        <v>100</v>
      </c>
      <c r="H12" t="str">
        <f t="shared" si="1"/>
        <v>Completado</v>
      </c>
      <c r="I12" s="3" t="str">
        <f t="shared" si="2"/>
        <v/>
      </c>
      <c r="J12" s="3" t="str">
        <f t="shared" si="3"/>
        <v>■</v>
      </c>
      <c r="K12" s="3" t="str">
        <f t="shared" si="4"/>
        <v/>
      </c>
      <c r="L12" s="3" t="str">
        <f t="shared" si="5"/>
        <v/>
      </c>
      <c r="M12" s="3" t="str">
        <f t="shared" si="6"/>
        <v/>
      </c>
      <c r="N12" s="3" t="str">
        <f t="shared" si="7"/>
        <v/>
      </c>
      <c r="O12" s="3" t="str">
        <f t="shared" si="8"/>
        <v/>
      </c>
      <c r="P12" s="3" t="str">
        <f t="shared" si="9"/>
        <v/>
      </c>
      <c r="Q12" s="3" t="str">
        <f t="shared" si="10"/>
        <v/>
      </c>
      <c r="R12" s="3" t="str">
        <f t="shared" si="11"/>
        <v/>
      </c>
      <c r="S12" s="3" t="str">
        <f t="shared" si="12"/>
        <v/>
      </c>
      <c r="T12" s="3" t="str">
        <f t="shared" si="13"/>
        <v/>
      </c>
      <c r="U12" s="3" t="str">
        <f t="shared" si="14"/>
        <v/>
      </c>
      <c r="V12" s="3" t="str">
        <f t="shared" si="15"/>
        <v/>
      </c>
      <c r="W12" s="3" t="str">
        <f t="shared" si="16"/>
        <v/>
      </c>
      <c r="X12" s="3" t="str">
        <f t="shared" si="17"/>
        <v/>
      </c>
      <c r="Y12" s="3" t="str">
        <f t="shared" si="18"/>
        <v/>
      </c>
      <c r="Z12" s="3" t="str">
        <f t="shared" si="19"/>
        <v/>
      </c>
      <c r="AA12" s="3" t="str">
        <f t="shared" si="20"/>
        <v/>
      </c>
      <c r="AB12" s="3" t="str">
        <f t="shared" si="21"/>
        <v/>
      </c>
      <c r="AC12" s="3" t="str">
        <f t="shared" si="22"/>
        <v/>
      </c>
      <c r="AD12" s="3" t="str">
        <f t="shared" si="23"/>
        <v/>
      </c>
      <c r="AE12" s="3" t="str">
        <f t="shared" si="24"/>
        <v/>
      </c>
      <c r="AF12" s="3" t="str">
        <f t="shared" si="25"/>
        <v/>
      </c>
      <c r="AG12" s="3" t="str">
        <f t="shared" si="26"/>
        <v/>
      </c>
      <c r="AH12" s="3" t="str">
        <f t="shared" si="27"/>
        <v/>
      </c>
    </row>
    <row r="13" spans="1:35" ht="23" customHeight="1">
      <c r="A13" t="s">
        <v>36</v>
      </c>
      <c r="B13" t="s">
        <v>46</v>
      </c>
      <c r="C13" t="s">
        <v>45</v>
      </c>
      <c r="D13" s="2">
        <v>46297</v>
      </c>
      <c r="E13" s="2">
        <v>46297</v>
      </c>
      <c r="F13">
        <f t="shared" si="0"/>
        <v>1</v>
      </c>
      <c r="G13">
        <v>100</v>
      </c>
      <c r="H13" t="str">
        <f t="shared" si="1"/>
        <v>Completado</v>
      </c>
      <c r="I13" s="3" t="str">
        <f t="shared" si="2"/>
        <v/>
      </c>
      <c r="J13" s="3" t="str">
        <f t="shared" si="3"/>
        <v>■</v>
      </c>
      <c r="K13" s="3" t="str">
        <f t="shared" si="4"/>
        <v/>
      </c>
      <c r="L13" s="3" t="str">
        <f t="shared" si="5"/>
        <v/>
      </c>
      <c r="M13" s="3" t="str">
        <f t="shared" si="6"/>
        <v/>
      </c>
      <c r="N13" s="3" t="str">
        <f t="shared" si="7"/>
        <v/>
      </c>
      <c r="O13" s="3" t="str">
        <f t="shared" si="8"/>
        <v/>
      </c>
      <c r="P13" s="3" t="str">
        <f t="shared" si="9"/>
        <v/>
      </c>
      <c r="Q13" s="3" t="str">
        <f t="shared" si="10"/>
        <v/>
      </c>
      <c r="R13" s="3" t="str">
        <f t="shared" si="11"/>
        <v/>
      </c>
      <c r="S13" s="3" t="str">
        <f t="shared" si="12"/>
        <v/>
      </c>
      <c r="T13" s="3" t="str">
        <f t="shared" si="13"/>
        <v/>
      </c>
      <c r="U13" s="3" t="str">
        <f t="shared" si="14"/>
        <v/>
      </c>
      <c r="V13" s="3" t="str">
        <f t="shared" si="15"/>
        <v/>
      </c>
      <c r="W13" s="3" t="str">
        <f t="shared" si="16"/>
        <v/>
      </c>
      <c r="X13" s="3" t="str">
        <f t="shared" si="17"/>
        <v/>
      </c>
      <c r="Y13" s="3" t="str">
        <f t="shared" si="18"/>
        <v/>
      </c>
      <c r="Z13" s="3" t="str">
        <f t="shared" si="19"/>
        <v/>
      </c>
      <c r="AA13" s="3" t="str">
        <f t="shared" si="20"/>
        <v/>
      </c>
      <c r="AB13" s="3" t="str">
        <f t="shared" si="21"/>
        <v/>
      </c>
      <c r="AC13" s="3" t="str">
        <f t="shared" si="22"/>
        <v/>
      </c>
      <c r="AD13" s="3" t="str">
        <f t="shared" si="23"/>
        <v/>
      </c>
      <c r="AE13" s="3" t="str">
        <f t="shared" si="24"/>
        <v/>
      </c>
      <c r="AF13" s="3" t="str">
        <f t="shared" si="25"/>
        <v/>
      </c>
      <c r="AG13" s="3" t="str">
        <f t="shared" si="26"/>
        <v/>
      </c>
      <c r="AH13" s="3" t="str">
        <f t="shared" si="27"/>
        <v/>
      </c>
    </row>
    <row r="14" spans="1:35" ht="23" customHeight="1">
      <c r="A14" t="s">
        <v>36</v>
      </c>
      <c r="B14" t="s">
        <v>47</v>
      </c>
      <c r="C14" t="s">
        <v>45</v>
      </c>
      <c r="D14" s="2">
        <v>46297</v>
      </c>
      <c r="E14" s="2">
        <v>46297</v>
      </c>
      <c r="F14">
        <f t="shared" si="0"/>
        <v>1</v>
      </c>
      <c r="G14">
        <v>100</v>
      </c>
      <c r="H14" t="str">
        <f t="shared" si="1"/>
        <v>Completado</v>
      </c>
      <c r="I14" s="3" t="str">
        <f t="shared" si="2"/>
        <v/>
      </c>
      <c r="J14" s="3" t="str">
        <f t="shared" si="3"/>
        <v>■</v>
      </c>
      <c r="K14" s="3" t="str">
        <f t="shared" si="4"/>
        <v/>
      </c>
      <c r="L14" s="3" t="str">
        <f t="shared" si="5"/>
        <v/>
      </c>
      <c r="M14" s="3" t="str">
        <f t="shared" si="6"/>
        <v/>
      </c>
      <c r="N14" s="3" t="str">
        <f t="shared" si="7"/>
        <v/>
      </c>
      <c r="O14" s="3" t="str">
        <f t="shared" si="8"/>
        <v/>
      </c>
      <c r="P14" s="3" t="str">
        <f t="shared" si="9"/>
        <v/>
      </c>
      <c r="Q14" s="3" t="str">
        <f t="shared" si="10"/>
        <v/>
      </c>
      <c r="R14" s="3" t="str">
        <f t="shared" si="11"/>
        <v/>
      </c>
      <c r="S14" s="3" t="str">
        <f t="shared" si="12"/>
        <v/>
      </c>
      <c r="T14" s="3" t="str">
        <f t="shared" si="13"/>
        <v/>
      </c>
      <c r="U14" s="3" t="str">
        <f t="shared" si="14"/>
        <v/>
      </c>
      <c r="V14" s="3" t="str">
        <f t="shared" si="15"/>
        <v/>
      </c>
      <c r="W14" s="3" t="str">
        <f t="shared" si="16"/>
        <v/>
      </c>
      <c r="X14" s="3" t="str">
        <f t="shared" si="17"/>
        <v/>
      </c>
      <c r="Y14" s="3" t="str">
        <f t="shared" si="18"/>
        <v/>
      </c>
      <c r="Z14" s="3" t="str">
        <f t="shared" si="19"/>
        <v/>
      </c>
      <c r="AA14" s="3" t="str">
        <f t="shared" si="20"/>
        <v/>
      </c>
      <c r="AB14" s="3" t="str">
        <f t="shared" si="21"/>
        <v/>
      </c>
      <c r="AC14" s="3" t="str">
        <f t="shared" si="22"/>
        <v/>
      </c>
      <c r="AD14" s="3" t="str">
        <f t="shared" si="23"/>
        <v/>
      </c>
      <c r="AE14" s="3" t="str">
        <f t="shared" si="24"/>
        <v/>
      </c>
      <c r="AF14" s="3" t="str">
        <f t="shared" si="25"/>
        <v/>
      </c>
      <c r="AG14" s="3" t="str">
        <f t="shared" si="26"/>
        <v/>
      </c>
      <c r="AH14" s="3" t="str">
        <f t="shared" si="27"/>
        <v/>
      </c>
    </row>
    <row r="15" spans="1:35" ht="23" customHeight="1">
      <c r="A15" t="s">
        <v>36</v>
      </c>
      <c r="B15" t="s">
        <v>48</v>
      </c>
      <c r="C15" t="s">
        <v>43</v>
      </c>
      <c r="D15" s="2">
        <v>46298</v>
      </c>
      <c r="E15" s="2">
        <v>46298</v>
      </c>
      <c r="F15">
        <f t="shared" si="0"/>
        <v>1</v>
      </c>
      <c r="G15">
        <v>100</v>
      </c>
      <c r="H15" t="str">
        <f t="shared" si="1"/>
        <v>Completado</v>
      </c>
      <c r="I15" s="3" t="str">
        <f t="shared" si="2"/>
        <v/>
      </c>
      <c r="J15" s="3" t="str">
        <f t="shared" si="3"/>
        <v/>
      </c>
      <c r="K15" s="3" t="str">
        <f t="shared" si="4"/>
        <v>■</v>
      </c>
      <c r="L15" s="3" t="str">
        <f t="shared" si="5"/>
        <v/>
      </c>
      <c r="M15" s="3" t="str">
        <f t="shared" si="6"/>
        <v/>
      </c>
      <c r="N15" s="3" t="str">
        <f t="shared" si="7"/>
        <v/>
      </c>
      <c r="O15" s="3" t="str">
        <f t="shared" si="8"/>
        <v/>
      </c>
      <c r="P15" s="3" t="str">
        <f t="shared" si="9"/>
        <v/>
      </c>
      <c r="Q15" s="3" t="str">
        <f t="shared" si="10"/>
        <v/>
      </c>
      <c r="R15" s="3" t="str">
        <f t="shared" si="11"/>
        <v/>
      </c>
      <c r="S15" s="3" t="str">
        <f t="shared" si="12"/>
        <v/>
      </c>
      <c r="T15" s="3" t="str">
        <f t="shared" si="13"/>
        <v/>
      </c>
      <c r="U15" s="3" t="str">
        <f t="shared" si="14"/>
        <v/>
      </c>
      <c r="V15" s="3" t="str">
        <f t="shared" si="15"/>
        <v/>
      </c>
      <c r="W15" s="3" t="str">
        <f t="shared" si="16"/>
        <v/>
      </c>
      <c r="X15" s="3" t="str">
        <f t="shared" si="17"/>
        <v/>
      </c>
      <c r="Y15" s="3" t="str">
        <f t="shared" si="18"/>
        <v/>
      </c>
      <c r="Z15" s="3" t="str">
        <f t="shared" si="19"/>
        <v/>
      </c>
      <c r="AA15" s="3" t="str">
        <f t="shared" si="20"/>
        <v/>
      </c>
      <c r="AB15" s="3" t="str">
        <f t="shared" si="21"/>
        <v/>
      </c>
      <c r="AC15" s="3" t="str">
        <f t="shared" si="22"/>
        <v/>
      </c>
      <c r="AD15" s="3" t="str">
        <f t="shared" si="23"/>
        <v/>
      </c>
      <c r="AE15" s="3" t="str">
        <f t="shared" si="24"/>
        <v/>
      </c>
      <c r="AF15" s="3" t="str">
        <f t="shared" si="25"/>
        <v/>
      </c>
      <c r="AG15" s="3" t="str">
        <f t="shared" si="26"/>
        <v/>
      </c>
      <c r="AH15" s="3" t="str">
        <f t="shared" si="27"/>
        <v/>
      </c>
    </row>
    <row r="16" spans="1:35" ht="23" customHeight="1">
      <c r="A16" t="s">
        <v>36</v>
      </c>
      <c r="B16" t="s">
        <v>49</v>
      </c>
      <c r="C16" t="s">
        <v>50</v>
      </c>
      <c r="D16" s="2">
        <v>46298</v>
      </c>
      <c r="E16" s="2">
        <v>46298</v>
      </c>
      <c r="F16">
        <f t="shared" si="0"/>
        <v>1</v>
      </c>
      <c r="G16">
        <v>100</v>
      </c>
      <c r="H16" t="str">
        <f t="shared" si="1"/>
        <v>Completado</v>
      </c>
      <c r="I16" s="3" t="str">
        <f t="shared" si="2"/>
        <v/>
      </c>
      <c r="J16" s="3" t="str">
        <f t="shared" si="3"/>
        <v/>
      </c>
      <c r="K16" s="3" t="str">
        <f t="shared" si="4"/>
        <v>■</v>
      </c>
      <c r="L16" s="3" t="str">
        <f t="shared" si="5"/>
        <v/>
      </c>
      <c r="M16" s="3" t="str">
        <f t="shared" si="6"/>
        <v/>
      </c>
      <c r="N16" s="3" t="str">
        <f t="shared" si="7"/>
        <v/>
      </c>
      <c r="O16" s="3" t="str">
        <f t="shared" si="8"/>
        <v/>
      </c>
      <c r="P16" s="3" t="str">
        <f t="shared" si="9"/>
        <v/>
      </c>
      <c r="Q16" s="3" t="str">
        <f t="shared" si="10"/>
        <v/>
      </c>
      <c r="R16" s="3" t="str">
        <f t="shared" si="11"/>
        <v/>
      </c>
      <c r="S16" s="3" t="str">
        <f t="shared" si="12"/>
        <v/>
      </c>
      <c r="T16" s="3" t="str">
        <f t="shared" si="13"/>
        <v/>
      </c>
      <c r="U16" s="3" t="str">
        <f t="shared" si="14"/>
        <v/>
      </c>
      <c r="V16" s="3" t="str">
        <f t="shared" si="15"/>
        <v/>
      </c>
      <c r="W16" s="3" t="str">
        <f t="shared" si="16"/>
        <v/>
      </c>
      <c r="X16" s="3" t="str">
        <f t="shared" si="17"/>
        <v/>
      </c>
      <c r="Y16" s="3" t="str">
        <f t="shared" si="18"/>
        <v/>
      </c>
      <c r="Z16" s="3" t="str">
        <f t="shared" si="19"/>
        <v/>
      </c>
      <c r="AA16" s="3" t="str">
        <f t="shared" si="20"/>
        <v/>
      </c>
      <c r="AB16" s="3" t="str">
        <f t="shared" si="21"/>
        <v/>
      </c>
      <c r="AC16" s="3" t="str">
        <f t="shared" si="22"/>
        <v/>
      </c>
      <c r="AD16" s="3" t="str">
        <f t="shared" si="23"/>
        <v/>
      </c>
      <c r="AE16" s="3" t="str">
        <f t="shared" si="24"/>
        <v/>
      </c>
      <c r="AF16" s="3" t="str">
        <f t="shared" si="25"/>
        <v/>
      </c>
      <c r="AG16" s="3" t="str">
        <f t="shared" si="26"/>
        <v/>
      </c>
      <c r="AH16" s="3" t="str">
        <f t="shared" si="27"/>
        <v/>
      </c>
    </row>
    <row r="17" spans="1:34" ht="23" customHeight="1">
      <c r="A17" t="s">
        <v>36</v>
      </c>
      <c r="B17" t="s">
        <v>51</v>
      </c>
      <c r="C17" t="s">
        <v>52</v>
      </c>
      <c r="D17" s="2">
        <v>46298</v>
      </c>
      <c r="E17" s="2">
        <v>46298</v>
      </c>
      <c r="F17">
        <f t="shared" si="0"/>
        <v>1</v>
      </c>
      <c r="G17">
        <v>100</v>
      </c>
      <c r="H17" t="str">
        <f t="shared" si="1"/>
        <v>Completado</v>
      </c>
      <c r="I17" s="3" t="str">
        <f t="shared" si="2"/>
        <v/>
      </c>
      <c r="J17" s="3" t="str">
        <f t="shared" si="3"/>
        <v/>
      </c>
      <c r="K17" s="3" t="str">
        <f t="shared" si="4"/>
        <v>■</v>
      </c>
      <c r="L17" s="3" t="str">
        <f t="shared" si="5"/>
        <v/>
      </c>
      <c r="M17" s="3" t="str">
        <f t="shared" si="6"/>
        <v/>
      </c>
      <c r="N17" s="3" t="str">
        <f t="shared" si="7"/>
        <v/>
      </c>
      <c r="O17" s="3" t="str">
        <f t="shared" si="8"/>
        <v/>
      </c>
      <c r="P17" s="3" t="str">
        <f t="shared" si="9"/>
        <v/>
      </c>
      <c r="Q17" s="3" t="str">
        <f t="shared" si="10"/>
        <v/>
      </c>
      <c r="R17" s="3" t="str">
        <f t="shared" si="11"/>
        <v/>
      </c>
      <c r="S17" s="3" t="str">
        <f t="shared" si="12"/>
        <v/>
      </c>
      <c r="T17" s="3" t="str">
        <f t="shared" si="13"/>
        <v/>
      </c>
      <c r="U17" s="3" t="str">
        <f t="shared" si="14"/>
        <v/>
      </c>
      <c r="V17" s="3" t="str">
        <f t="shared" si="15"/>
        <v/>
      </c>
      <c r="W17" s="3" t="str">
        <f t="shared" si="16"/>
        <v/>
      </c>
      <c r="X17" s="3" t="str">
        <f t="shared" si="17"/>
        <v/>
      </c>
      <c r="Y17" s="3" t="str">
        <f t="shared" si="18"/>
        <v/>
      </c>
      <c r="Z17" s="3" t="str">
        <f t="shared" si="19"/>
        <v/>
      </c>
      <c r="AA17" s="3" t="str">
        <f t="shared" si="20"/>
        <v/>
      </c>
      <c r="AB17" s="3" t="str">
        <f t="shared" si="21"/>
        <v/>
      </c>
      <c r="AC17" s="3" t="str">
        <f t="shared" si="22"/>
        <v/>
      </c>
      <c r="AD17" s="3" t="str">
        <f t="shared" si="23"/>
        <v/>
      </c>
      <c r="AE17" s="3" t="str">
        <f t="shared" si="24"/>
        <v/>
      </c>
      <c r="AF17" s="3" t="str">
        <f t="shared" si="25"/>
        <v/>
      </c>
      <c r="AG17" s="3" t="str">
        <f t="shared" si="26"/>
        <v/>
      </c>
      <c r="AH17" s="3" t="str">
        <f t="shared" si="27"/>
        <v/>
      </c>
    </row>
    <row r="18" spans="1:34" ht="23" customHeight="1">
      <c r="A18" t="s">
        <v>36</v>
      </c>
      <c r="B18" t="s">
        <v>53</v>
      </c>
      <c r="C18" t="s">
        <v>52</v>
      </c>
      <c r="D18" s="2">
        <v>46298</v>
      </c>
      <c r="E18" s="2">
        <v>46298</v>
      </c>
      <c r="F18">
        <f t="shared" si="0"/>
        <v>1</v>
      </c>
      <c r="G18">
        <v>100</v>
      </c>
      <c r="H18" t="str">
        <f t="shared" si="1"/>
        <v>Completado</v>
      </c>
      <c r="I18" s="3" t="str">
        <f t="shared" si="2"/>
        <v/>
      </c>
      <c r="J18" s="3" t="str">
        <f t="shared" si="3"/>
        <v/>
      </c>
      <c r="K18" s="3" t="str">
        <f t="shared" si="4"/>
        <v>■</v>
      </c>
      <c r="L18" s="3" t="str">
        <f t="shared" si="5"/>
        <v/>
      </c>
      <c r="M18" s="3" t="str">
        <f t="shared" si="6"/>
        <v/>
      </c>
      <c r="N18" s="3" t="str">
        <f t="shared" si="7"/>
        <v/>
      </c>
      <c r="O18" s="3" t="str">
        <f t="shared" si="8"/>
        <v/>
      </c>
      <c r="P18" s="3" t="str">
        <f t="shared" si="9"/>
        <v/>
      </c>
      <c r="Q18" s="3" t="str">
        <f t="shared" si="10"/>
        <v/>
      </c>
      <c r="R18" s="3" t="str">
        <f t="shared" si="11"/>
        <v/>
      </c>
      <c r="S18" s="3" t="str">
        <f t="shared" si="12"/>
        <v/>
      </c>
      <c r="T18" s="3" t="str">
        <f t="shared" si="13"/>
        <v/>
      </c>
      <c r="U18" s="3" t="str">
        <f t="shared" si="14"/>
        <v/>
      </c>
      <c r="V18" s="3" t="str">
        <f t="shared" si="15"/>
        <v/>
      </c>
      <c r="W18" s="3" t="str">
        <f t="shared" si="16"/>
        <v/>
      </c>
      <c r="X18" s="3" t="str">
        <f t="shared" si="17"/>
        <v/>
      </c>
      <c r="Y18" s="3" t="str">
        <f t="shared" si="18"/>
        <v/>
      </c>
      <c r="Z18" s="3" t="str">
        <f t="shared" si="19"/>
        <v/>
      </c>
      <c r="AA18" s="3" t="str">
        <f t="shared" si="20"/>
        <v/>
      </c>
      <c r="AB18" s="3" t="str">
        <f t="shared" si="21"/>
        <v/>
      </c>
      <c r="AC18" s="3" t="str">
        <f t="shared" si="22"/>
        <v/>
      </c>
      <c r="AD18" s="3" t="str">
        <f t="shared" si="23"/>
        <v/>
      </c>
      <c r="AE18" s="3" t="str">
        <f t="shared" si="24"/>
        <v/>
      </c>
      <c r="AF18" s="3" t="str">
        <f t="shared" si="25"/>
        <v/>
      </c>
      <c r="AG18" s="3" t="str">
        <f t="shared" si="26"/>
        <v/>
      </c>
      <c r="AH18" s="3" t="str">
        <f t="shared" si="27"/>
        <v/>
      </c>
    </row>
    <row r="19" spans="1:34" ht="23" customHeight="1">
      <c r="A19" t="s">
        <v>36</v>
      </c>
      <c r="B19" t="s">
        <v>54</v>
      </c>
      <c r="C19" t="s">
        <v>55</v>
      </c>
      <c r="D19" s="2">
        <v>46298</v>
      </c>
      <c r="E19" s="2">
        <v>46298</v>
      </c>
      <c r="F19">
        <f t="shared" si="0"/>
        <v>1</v>
      </c>
      <c r="G19">
        <v>100</v>
      </c>
      <c r="H19" t="str">
        <f t="shared" si="1"/>
        <v>Completado</v>
      </c>
      <c r="I19" s="3" t="str">
        <f t="shared" si="2"/>
        <v/>
      </c>
      <c r="J19" s="3" t="str">
        <f t="shared" si="3"/>
        <v/>
      </c>
      <c r="K19" s="3" t="str">
        <f t="shared" si="4"/>
        <v>■</v>
      </c>
      <c r="L19" s="3" t="str">
        <f t="shared" si="5"/>
        <v/>
      </c>
      <c r="M19" s="3" t="str">
        <f t="shared" si="6"/>
        <v/>
      </c>
      <c r="N19" s="3" t="str">
        <f t="shared" si="7"/>
        <v/>
      </c>
      <c r="O19" s="3" t="str">
        <f t="shared" si="8"/>
        <v/>
      </c>
      <c r="P19" s="3" t="str">
        <f t="shared" si="9"/>
        <v/>
      </c>
      <c r="Q19" s="3" t="str">
        <f t="shared" si="10"/>
        <v/>
      </c>
      <c r="R19" s="3" t="str">
        <f t="shared" si="11"/>
        <v/>
      </c>
      <c r="S19" s="3" t="str">
        <f t="shared" si="12"/>
        <v/>
      </c>
      <c r="T19" s="3" t="str">
        <f t="shared" si="13"/>
        <v/>
      </c>
      <c r="U19" s="3" t="str">
        <f t="shared" si="14"/>
        <v/>
      </c>
      <c r="V19" s="3" t="str">
        <f t="shared" si="15"/>
        <v/>
      </c>
      <c r="W19" s="3" t="str">
        <f t="shared" si="16"/>
        <v/>
      </c>
      <c r="X19" s="3" t="str">
        <f t="shared" si="17"/>
        <v/>
      </c>
      <c r="Y19" s="3" t="str">
        <f t="shared" si="18"/>
        <v/>
      </c>
      <c r="Z19" s="3" t="str">
        <f t="shared" si="19"/>
        <v/>
      </c>
      <c r="AA19" s="3" t="str">
        <f t="shared" si="20"/>
        <v/>
      </c>
      <c r="AB19" s="3" t="str">
        <f t="shared" si="21"/>
        <v/>
      </c>
      <c r="AC19" s="3" t="str">
        <f t="shared" si="22"/>
        <v/>
      </c>
      <c r="AD19" s="3" t="str">
        <f t="shared" si="23"/>
        <v/>
      </c>
      <c r="AE19" s="3" t="str">
        <f t="shared" si="24"/>
        <v/>
      </c>
      <c r="AF19" s="3" t="str">
        <f t="shared" si="25"/>
        <v/>
      </c>
      <c r="AG19" s="3" t="str">
        <f t="shared" si="26"/>
        <v/>
      </c>
      <c r="AH19" s="3" t="str">
        <f t="shared" si="27"/>
        <v/>
      </c>
    </row>
    <row r="20" spans="1:34" ht="23" customHeight="1">
      <c r="A20" t="s">
        <v>36</v>
      </c>
      <c r="B20" t="s">
        <v>56</v>
      </c>
      <c r="C20" t="s">
        <v>45</v>
      </c>
      <c r="D20" s="2">
        <v>46297</v>
      </c>
      <c r="E20" s="2">
        <v>46297</v>
      </c>
      <c r="F20">
        <f t="shared" si="0"/>
        <v>1</v>
      </c>
      <c r="G20">
        <v>100</v>
      </c>
      <c r="H20" t="str">
        <f t="shared" si="1"/>
        <v>Completado</v>
      </c>
      <c r="I20" s="3" t="str">
        <f t="shared" si="2"/>
        <v/>
      </c>
      <c r="J20" s="3" t="str">
        <f t="shared" si="3"/>
        <v>■</v>
      </c>
      <c r="K20" s="3" t="str">
        <f t="shared" si="4"/>
        <v/>
      </c>
      <c r="L20" s="3" t="str">
        <f t="shared" si="5"/>
        <v/>
      </c>
      <c r="M20" s="3" t="str">
        <f t="shared" si="6"/>
        <v/>
      </c>
      <c r="N20" s="3" t="str">
        <f t="shared" si="7"/>
        <v/>
      </c>
      <c r="O20" s="3" t="str">
        <f t="shared" si="8"/>
        <v/>
      </c>
      <c r="P20" s="3" t="str">
        <f t="shared" si="9"/>
        <v/>
      </c>
      <c r="Q20" s="3" t="str">
        <f t="shared" si="10"/>
        <v/>
      </c>
      <c r="R20" s="3" t="str">
        <f t="shared" si="11"/>
        <v/>
      </c>
      <c r="S20" s="3" t="str">
        <f t="shared" si="12"/>
        <v/>
      </c>
      <c r="T20" s="3" t="str">
        <f t="shared" si="13"/>
        <v/>
      </c>
      <c r="U20" s="3" t="str">
        <f t="shared" si="14"/>
        <v/>
      </c>
      <c r="V20" s="3" t="str">
        <f t="shared" si="15"/>
        <v/>
      </c>
      <c r="W20" s="3" t="str">
        <f t="shared" si="16"/>
        <v/>
      </c>
      <c r="X20" s="3" t="str">
        <f t="shared" si="17"/>
        <v/>
      </c>
      <c r="Y20" s="3" t="str">
        <f t="shared" si="18"/>
        <v/>
      </c>
      <c r="Z20" s="3" t="str">
        <f t="shared" si="19"/>
        <v/>
      </c>
      <c r="AA20" s="3" t="str">
        <f t="shared" si="20"/>
        <v/>
      </c>
      <c r="AB20" s="3" t="str">
        <f t="shared" si="21"/>
        <v/>
      </c>
      <c r="AC20" s="3" t="str">
        <f t="shared" si="22"/>
        <v/>
      </c>
      <c r="AD20" s="3" t="str">
        <f t="shared" si="23"/>
        <v/>
      </c>
      <c r="AE20" s="3" t="str">
        <f t="shared" si="24"/>
        <v/>
      </c>
      <c r="AF20" s="3" t="str">
        <f t="shared" si="25"/>
        <v/>
      </c>
      <c r="AG20" s="3" t="str">
        <f t="shared" si="26"/>
        <v/>
      </c>
      <c r="AH20" s="3" t="str">
        <f t="shared" si="27"/>
        <v/>
      </c>
    </row>
    <row r="21" spans="1:34" ht="23" customHeight="1">
      <c r="A21" t="s">
        <v>36</v>
      </c>
      <c r="B21" t="s">
        <v>57</v>
      </c>
      <c r="C21" t="s">
        <v>43</v>
      </c>
      <c r="D21" s="2">
        <v>46298</v>
      </c>
      <c r="E21" s="2">
        <v>46298</v>
      </c>
      <c r="F21">
        <f t="shared" si="0"/>
        <v>1</v>
      </c>
      <c r="G21">
        <v>100</v>
      </c>
      <c r="H21" t="str">
        <f t="shared" si="1"/>
        <v>Completado</v>
      </c>
      <c r="I21" s="3" t="str">
        <f t="shared" si="2"/>
        <v/>
      </c>
      <c r="J21" s="3" t="str">
        <f t="shared" si="3"/>
        <v/>
      </c>
      <c r="K21" s="3" t="str">
        <f t="shared" si="4"/>
        <v>■</v>
      </c>
      <c r="L21" s="3" t="str">
        <f t="shared" si="5"/>
        <v/>
      </c>
      <c r="M21" s="3" t="str">
        <f t="shared" si="6"/>
        <v/>
      </c>
      <c r="N21" s="3" t="str">
        <f t="shared" si="7"/>
        <v/>
      </c>
      <c r="O21" s="3" t="str">
        <f t="shared" si="8"/>
        <v/>
      </c>
      <c r="P21" s="3" t="str">
        <f t="shared" si="9"/>
        <v/>
      </c>
      <c r="Q21" s="3" t="str">
        <f t="shared" si="10"/>
        <v/>
      </c>
      <c r="R21" s="3" t="str">
        <f t="shared" si="11"/>
        <v/>
      </c>
      <c r="S21" s="3" t="str">
        <f t="shared" si="12"/>
        <v/>
      </c>
      <c r="T21" s="3" t="str">
        <f t="shared" si="13"/>
        <v/>
      </c>
      <c r="U21" s="3" t="str">
        <f t="shared" si="14"/>
        <v/>
      </c>
      <c r="V21" s="3" t="str">
        <f t="shared" si="15"/>
        <v/>
      </c>
      <c r="W21" s="3" t="str">
        <f t="shared" si="16"/>
        <v/>
      </c>
      <c r="X21" s="3" t="str">
        <f t="shared" si="17"/>
        <v/>
      </c>
      <c r="Y21" s="3" t="str">
        <f t="shared" si="18"/>
        <v/>
      </c>
      <c r="Z21" s="3" t="str">
        <f t="shared" si="19"/>
        <v/>
      </c>
      <c r="AA21" s="3" t="str">
        <f t="shared" si="20"/>
        <v/>
      </c>
      <c r="AB21" s="3" t="str">
        <f t="shared" si="21"/>
        <v/>
      </c>
      <c r="AC21" s="3" t="str">
        <f t="shared" si="22"/>
        <v/>
      </c>
      <c r="AD21" s="3" t="str">
        <f t="shared" si="23"/>
        <v/>
      </c>
      <c r="AE21" s="3" t="str">
        <f t="shared" si="24"/>
        <v/>
      </c>
      <c r="AF21" s="3" t="str">
        <f t="shared" si="25"/>
        <v/>
      </c>
      <c r="AG21" s="3" t="str">
        <f t="shared" si="26"/>
        <v/>
      </c>
      <c r="AH21" s="3" t="str">
        <f t="shared" si="27"/>
        <v/>
      </c>
    </row>
    <row r="22" spans="1:34" ht="23" customHeight="1">
      <c r="A22" t="s">
        <v>36</v>
      </c>
      <c r="B22" t="s">
        <v>58</v>
      </c>
      <c r="C22" t="s">
        <v>50</v>
      </c>
      <c r="D22" s="2">
        <v>46298</v>
      </c>
      <c r="E22" s="2">
        <v>46298</v>
      </c>
      <c r="F22">
        <f t="shared" si="0"/>
        <v>1</v>
      </c>
      <c r="G22">
        <v>100</v>
      </c>
      <c r="H22" t="str">
        <f t="shared" si="1"/>
        <v>Completado</v>
      </c>
      <c r="I22" s="3" t="str">
        <f t="shared" si="2"/>
        <v/>
      </c>
      <c r="J22" s="3" t="str">
        <f t="shared" si="3"/>
        <v/>
      </c>
      <c r="K22" s="3" t="str">
        <f t="shared" si="4"/>
        <v>■</v>
      </c>
      <c r="L22" s="3" t="str">
        <f t="shared" si="5"/>
        <v/>
      </c>
      <c r="M22" s="3" t="str">
        <f t="shared" si="6"/>
        <v/>
      </c>
      <c r="N22" s="3" t="str">
        <f t="shared" si="7"/>
        <v/>
      </c>
      <c r="O22" s="3" t="str">
        <f t="shared" si="8"/>
        <v/>
      </c>
      <c r="P22" s="3" t="str">
        <f t="shared" si="9"/>
        <v/>
      </c>
      <c r="Q22" s="3" t="str">
        <f t="shared" si="10"/>
        <v/>
      </c>
      <c r="R22" s="3" t="str">
        <f t="shared" si="11"/>
        <v/>
      </c>
      <c r="S22" s="3" t="str">
        <f t="shared" si="12"/>
        <v/>
      </c>
      <c r="T22" s="3" t="str">
        <f t="shared" si="13"/>
        <v/>
      </c>
      <c r="U22" s="3" t="str">
        <f t="shared" si="14"/>
        <v/>
      </c>
      <c r="V22" s="3" t="str">
        <f t="shared" si="15"/>
        <v/>
      </c>
      <c r="W22" s="3" t="str">
        <f t="shared" si="16"/>
        <v/>
      </c>
      <c r="X22" s="3" t="str">
        <f t="shared" si="17"/>
        <v/>
      </c>
      <c r="Y22" s="3" t="str">
        <f t="shared" si="18"/>
        <v/>
      </c>
      <c r="Z22" s="3" t="str">
        <f t="shared" si="19"/>
        <v/>
      </c>
      <c r="AA22" s="3" t="str">
        <f t="shared" si="20"/>
        <v/>
      </c>
      <c r="AB22" s="3" t="str">
        <f t="shared" si="21"/>
        <v/>
      </c>
      <c r="AC22" s="3" t="str">
        <f t="shared" si="22"/>
        <v/>
      </c>
      <c r="AD22" s="3" t="str">
        <f t="shared" si="23"/>
        <v/>
      </c>
      <c r="AE22" s="3" t="str">
        <f t="shared" si="24"/>
        <v/>
      </c>
      <c r="AF22" s="3" t="str">
        <f t="shared" si="25"/>
        <v/>
      </c>
      <c r="AG22" s="3" t="str">
        <f t="shared" si="26"/>
        <v/>
      </c>
      <c r="AH22" s="3" t="str">
        <f t="shared" si="27"/>
        <v/>
      </c>
    </row>
    <row r="23" spans="1:34" ht="23" customHeight="1">
      <c r="A23" t="s">
        <v>36</v>
      </c>
      <c r="B23" t="s">
        <v>59</v>
      </c>
      <c r="C23" t="s">
        <v>52</v>
      </c>
      <c r="D23" s="2">
        <v>46298</v>
      </c>
      <c r="E23" s="2">
        <v>46298</v>
      </c>
      <c r="F23">
        <f t="shared" si="0"/>
        <v>1</v>
      </c>
      <c r="G23">
        <v>100</v>
      </c>
      <c r="H23" t="str">
        <f t="shared" si="1"/>
        <v>Completado</v>
      </c>
      <c r="I23" s="3" t="str">
        <f t="shared" si="2"/>
        <v/>
      </c>
      <c r="J23" s="3" t="str">
        <f t="shared" si="3"/>
        <v/>
      </c>
      <c r="K23" s="3" t="str">
        <f t="shared" si="4"/>
        <v>■</v>
      </c>
      <c r="L23" s="3" t="str">
        <f t="shared" si="5"/>
        <v/>
      </c>
      <c r="M23" s="3" t="str">
        <f t="shared" si="6"/>
        <v/>
      </c>
      <c r="N23" s="3" t="str">
        <f t="shared" si="7"/>
        <v/>
      </c>
      <c r="O23" s="3" t="str">
        <f t="shared" si="8"/>
        <v/>
      </c>
      <c r="P23" s="3" t="str">
        <f t="shared" si="9"/>
        <v/>
      </c>
      <c r="Q23" s="3" t="str">
        <f t="shared" si="10"/>
        <v/>
      </c>
      <c r="R23" s="3" t="str">
        <f t="shared" si="11"/>
        <v/>
      </c>
      <c r="S23" s="3" t="str">
        <f t="shared" si="12"/>
        <v/>
      </c>
      <c r="T23" s="3" t="str">
        <f t="shared" si="13"/>
        <v/>
      </c>
      <c r="U23" s="3" t="str">
        <f t="shared" si="14"/>
        <v/>
      </c>
      <c r="V23" s="3" t="str">
        <f t="shared" si="15"/>
        <v/>
      </c>
      <c r="W23" s="3" t="str">
        <f t="shared" si="16"/>
        <v/>
      </c>
      <c r="X23" s="3" t="str">
        <f t="shared" si="17"/>
        <v/>
      </c>
      <c r="Y23" s="3" t="str">
        <f t="shared" si="18"/>
        <v/>
      </c>
      <c r="Z23" s="3" t="str">
        <f t="shared" si="19"/>
        <v/>
      </c>
      <c r="AA23" s="3" t="str">
        <f t="shared" si="20"/>
        <v/>
      </c>
      <c r="AB23" s="3" t="str">
        <f t="shared" si="21"/>
        <v/>
      </c>
      <c r="AC23" s="3" t="str">
        <f t="shared" si="22"/>
        <v/>
      </c>
      <c r="AD23" s="3" t="str">
        <f t="shared" si="23"/>
        <v/>
      </c>
      <c r="AE23" s="3" t="str">
        <f t="shared" si="24"/>
        <v/>
      </c>
      <c r="AF23" s="3" t="str">
        <f t="shared" si="25"/>
        <v/>
      </c>
      <c r="AG23" s="3" t="str">
        <f t="shared" si="26"/>
        <v/>
      </c>
      <c r="AH23" s="3" t="str">
        <f t="shared" si="27"/>
        <v/>
      </c>
    </row>
    <row r="24" spans="1:34" ht="23" customHeight="1">
      <c r="A24" t="s">
        <v>36</v>
      </c>
      <c r="B24" t="s">
        <v>60</v>
      </c>
      <c r="C24" t="s">
        <v>61</v>
      </c>
      <c r="D24" s="2">
        <v>46299</v>
      </c>
      <c r="E24" s="2">
        <v>46299</v>
      </c>
      <c r="F24">
        <f t="shared" si="0"/>
        <v>1</v>
      </c>
      <c r="G24">
        <v>100</v>
      </c>
      <c r="H24" t="str">
        <f t="shared" si="1"/>
        <v>Completado</v>
      </c>
      <c r="I24" s="3" t="str">
        <f t="shared" si="2"/>
        <v/>
      </c>
      <c r="J24" s="3" t="str">
        <f t="shared" si="3"/>
        <v/>
      </c>
      <c r="K24" s="3" t="str">
        <f t="shared" si="4"/>
        <v/>
      </c>
      <c r="L24" s="3" t="str">
        <f t="shared" si="5"/>
        <v>■</v>
      </c>
      <c r="M24" s="3" t="str">
        <f t="shared" si="6"/>
        <v/>
      </c>
      <c r="N24" s="3" t="str">
        <f t="shared" si="7"/>
        <v/>
      </c>
      <c r="O24" s="3" t="str">
        <f t="shared" si="8"/>
        <v/>
      </c>
      <c r="P24" s="3" t="str">
        <f t="shared" si="9"/>
        <v/>
      </c>
      <c r="Q24" s="3" t="str">
        <f t="shared" si="10"/>
        <v/>
      </c>
      <c r="R24" s="3" t="str">
        <f t="shared" si="11"/>
        <v/>
      </c>
      <c r="S24" s="3" t="str">
        <f t="shared" si="12"/>
        <v/>
      </c>
      <c r="T24" s="3" t="str">
        <f t="shared" si="13"/>
        <v/>
      </c>
      <c r="U24" s="3" t="str">
        <f t="shared" si="14"/>
        <v/>
      </c>
      <c r="V24" s="3" t="str">
        <f t="shared" si="15"/>
        <v/>
      </c>
      <c r="W24" s="3" t="str">
        <f t="shared" si="16"/>
        <v/>
      </c>
      <c r="X24" s="3" t="str">
        <f t="shared" si="17"/>
        <v/>
      </c>
      <c r="Y24" s="3" t="str">
        <f t="shared" si="18"/>
        <v/>
      </c>
      <c r="Z24" s="3" t="str">
        <f t="shared" si="19"/>
        <v/>
      </c>
      <c r="AA24" s="3" t="str">
        <f t="shared" si="20"/>
        <v/>
      </c>
      <c r="AB24" s="3" t="str">
        <f t="shared" si="21"/>
        <v/>
      </c>
      <c r="AC24" s="3" t="str">
        <f t="shared" si="22"/>
        <v/>
      </c>
      <c r="AD24" s="3" t="str">
        <f t="shared" si="23"/>
        <v/>
      </c>
      <c r="AE24" s="3" t="str">
        <f t="shared" si="24"/>
        <v/>
      </c>
      <c r="AF24" s="3" t="str">
        <f t="shared" si="25"/>
        <v/>
      </c>
      <c r="AG24" s="3" t="str">
        <f t="shared" si="26"/>
        <v/>
      </c>
      <c r="AH24" s="3" t="str">
        <f t="shared" si="27"/>
        <v/>
      </c>
    </row>
    <row r="25" spans="1:34" ht="23" customHeight="1">
      <c r="A25" t="s">
        <v>36</v>
      </c>
      <c r="B25" t="s">
        <v>62</v>
      </c>
      <c r="C25" t="s">
        <v>50</v>
      </c>
      <c r="D25" s="2">
        <v>46299</v>
      </c>
      <c r="E25" s="2">
        <v>46299</v>
      </c>
      <c r="F25">
        <f t="shared" si="0"/>
        <v>1</v>
      </c>
      <c r="G25">
        <v>100</v>
      </c>
      <c r="H25" t="str">
        <f t="shared" si="1"/>
        <v>Completado</v>
      </c>
      <c r="I25" s="3" t="str">
        <f t="shared" si="2"/>
        <v/>
      </c>
      <c r="J25" s="3" t="str">
        <f t="shared" si="3"/>
        <v/>
      </c>
      <c r="K25" s="3" t="str">
        <f t="shared" si="4"/>
        <v/>
      </c>
      <c r="L25" s="3" t="str">
        <f t="shared" si="5"/>
        <v>■</v>
      </c>
      <c r="M25" s="3" t="str">
        <f t="shared" si="6"/>
        <v/>
      </c>
      <c r="N25" s="3" t="str">
        <f t="shared" si="7"/>
        <v/>
      </c>
      <c r="O25" s="3" t="str">
        <f t="shared" si="8"/>
        <v/>
      </c>
      <c r="P25" s="3" t="str">
        <f t="shared" si="9"/>
        <v/>
      </c>
      <c r="Q25" s="3" t="str">
        <f t="shared" si="10"/>
        <v/>
      </c>
      <c r="R25" s="3" t="str">
        <f t="shared" si="11"/>
        <v/>
      </c>
      <c r="S25" s="3" t="str">
        <f t="shared" si="12"/>
        <v/>
      </c>
      <c r="T25" s="3" t="str">
        <f t="shared" si="13"/>
        <v/>
      </c>
      <c r="U25" s="3" t="str">
        <f t="shared" si="14"/>
        <v/>
      </c>
      <c r="V25" s="3" t="str">
        <f t="shared" si="15"/>
        <v/>
      </c>
      <c r="W25" s="3" t="str">
        <f t="shared" si="16"/>
        <v/>
      </c>
      <c r="X25" s="3" t="str">
        <f t="shared" si="17"/>
        <v/>
      </c>
      <c r="Y25" s="3" t="str">
        <f t="shared" si="18"/>
        <v/>
      </c>
      <c r="Z25" s="3" t="str">
        <f t="shared" si="19"/>
        <v/>
      </c>
      <c r="AA25" s="3" t="str">
        <f t="shared" si="20"/>
        <v/>
      </c>
      <c r="AB25" s="3" t="str">
        <f t="shared" si="21"/>
        <v/>
      </c>
      <c r="AC25" s="3" t="str">
        <f t="shared" si="22"/>
        <v/>
      </c>
      <c r="AD25" s="3" t="str">
        <f t="shared" si="23"/>
        <v/>
      </c>
      <c r="AE25" s="3" t="str">
        <f t="shared" si="24"/>
        <v/>
      </c>
      <c r="AF25" s="3" t="str">
        <f t="shared" si="25"/>
        <v/>
      </c>
      <c r="AG25" s="3" t="str">
        <f t="shared" si="26"/>
        <v/>
      </c>
      <c r="AH25" s="3" t="str">
        <f t="shared" si="27"/>
        <v/>
      </c>
    </row>
    <row r="26" spans="1:34" ht="23" customHeight="1">
      <c r="A26" t="s">
        <v>36</v>
      </c>
      <c r="B26" t="s">
        <v>63</v>
      </c>
      <c r="C26" t="s">
        <v>50</v>
      </c>
      <c r="D26" s="2">
        <v>46299</v>
      </c>
      <c r="E26" s="2">
        <v>46299</v>
      </c>
      <c r="F26">
        <f t="shared" si="0"/>
        <v>1</v>
      </c>
      <c r="G26">
        <v>100</v>
      </c>
      <c r="H26" t="str">
        <f t="shared" si="1"/>
        <v>Completado</v>
      </c>
      <c r="I26" s="3" t="str">
        <f t="shared" si="2"/>
        <v/>
      </c>
      <c r="J26" s="3" t="str">
        <f t="shared" si="3"/>
        <v/>
      </c>
      <c r="K26" s="3" t="str">
        <f t="shared" si="4"/>
        <v/>
      </c>
      <c r="L26" s="3" t="str">
        <f t="shared" si="5"/>
        <v>■</v>
      </c>
      <c r="M26" s="3" t="str">
        <f t="shared" si="6"/>
        <v/>
      </c>
      <c r="N26" s="3" t="str">
        <f t="shared" si="7"/>
        <v/>
      </c>
      <c r="O26" s="3" t="str">
        <f t="shared" si="8"/>
        <v/>
      </c>
      <c r="P26" s="3" t="str">
        <f t="shared" si="9"/>
        <v/>
      </c>
      <c r="Q26" s="3" t="str">
        <f t="shared" si="10"/>
        <v/>
      </c>
      <c r="R26" s="3" t="str">
        <f t="shared" si="11"/>
        <v/>
      </c>
      <c r="S26" s="3" t="str">
        <f t="shared" si="12"/>
        <v/>
      </c>
      <c r="T26" s="3" t="str">
        <f t="shared" si="13"/>
        <v/>
      </c>
      <c r="U26" s="3" t="str">
        <f t="shared" si="14"/>
        <v/>
      </c>
      <c r="V26" s="3" t="str">
        <f t="shared" si="15"/>
        <v/>
      </c>
      <c r="W26" s="3" t="str">
        <f t="shared" si="16"/>
        <v/>
      </c>
      <c r="X26" s="3" t="str">
        <f t="shared" si="17"/>
        <v/>
      </c>
      <c r="Y26" s="3" t="str">
        <f t="shared" si="18"/>
        <v/>
      </c>
      <c r="Z26" s="3" t="str">
        <f t="shared" si="19"/>
        <v/>
      </c>
      <c r="AA26" s="3" t="str">
        <f t="shared" si="20"/>
        <v/>
      </c>
      <c r="AB26" s="3" t="str">
        <f t="shared" si="21"/>
        <v/>
      </c>
      <c r="AC26" s="3" t="str">
        <f t="shared" si="22"/>
        <v/>
      </c>
      <c r="AD26" s="3" t="str">
        <f t="shared" si="23"/>
        <v/>
      </c>
      <c r="AE26" s="3" t="str">
        <f t="shared" si="24"/>
        <v/>
      </c>
      <c r="AF26" s="3" t="str">
        <f t="shared" si="25"/>
        <v/>
      </c>
      <c r="AG26" s="3" t="str">
        <f t="shared" si="26"/>
        <v/>
      </c>
      <c r="AH26" s="3" t="str">
        <f t="shared" si="27"/>
        <v/>
      </c>
    </row>
    <row r="27" spans="1:34" ht="23" customHeight="1">
      <c r="A27" t="s">
        <v>36</v>
      </c>
      <c r="B27" t="s">
        <v>64</v>
      </c>
      <c r="C27" t="s">
        <v>45</v>
      </c>
      <c r="D27" s="2">
        <v>46297</v>
      </c>
      <c r="E27" s="2">
        <v>46297</v>
      </c>
      <c r="F27">
        <f t="shared" si="0"/>
        <v>1</v>
      </c>
      <c r="G27">
        <v>100</v>
      </c>
      <c r="H27" t="str">
        <f t="shared" si="1"/>
        <v>Completado</v>
      </c>
      <c r="I27" s="3" t="str">
        <f t="shared" si="2"/>
        <v/>
      </c>
      <c r="J27" s="3" t="str">
        <f t="shared" si="3"/>
        <v>■</v>
      </c>
      <c r="K27" s="3" t="str">
        <f t="shared" si="4"/>
        <v/>
      </c>
      <c r="L27" s="3" t="str">
        <f t="shared" si="5"/>
        <v/>
      </c>
      <c r="M27" s="3" t="str">
        <f t="shared" si="6"/>
        <v/>
      </c>
      <c r="N27" s="3" t="str">
        <f t="shared" si="7"/>
        <v/>
      </c>
      <c r="O27" s="3" t="str">
        <f t="shared" si="8"/>
        <v/>
      </c>
      <c r="P27" s="3" t="str">
        <f t="shared" si="9"/>
        <v/>
      </c>
      <c r="Q27" s="3" t="str">
        <f t="shared" si="10"/>
        <v/>
      </c>
      <c r="R27" s="3" t="str">
        <f t="shared" si="11"/>
        <v/>
      </c>
      <c r="S27" s="3" t="str">
        <f t="shared" si="12"/>
        <v/>
      </c>
      <c r="T27" s="3" t="str">
        <f t="shared" si="13"/>
        <v/>
      </c>
      <c r="U27" s="3" t="str">
        <f t="shared" si="14"/>
        <v/>
      </c>
      <c r="V27" s="3" t="str">
        <f t="shared" si="15"/>
        <v/>
      </c>
      <c r="W27" s="3" t="str">
        <f t="shared" si="16"/>
        <v/>
      </c>
      <c r="X27" s="3" t="str">
        <f t="shared" si="17"/>
        <v/>
      </c>
      <c r="Y27" s="3" t="str">
        <f t="shared" si="18"/>
        <v/>
      </c>
      <c r="Z27" s="3" t="str">
        <f t="shared" si="19"/>
        <v/>
      </c>
      <c r="AA27" s="3" t="str">
        <f t="shared" si="20"/>
        <v/>
      </c>
      <c r="AB27" s="3" t="str">
        <f t="shared" si="21"/>
        <v/>
      </c>
      <c r="AC27" s="3" t="str">
        <f t="shared" si="22"/>
        <v/>
      </c>
      <c r="AD27" s="3" t="str">
        <f t="shared" si="23"/>
        <v/>
      </c>
      <c r="AE27" s="3" t="str">
        <f t="shared" si="24"/>
        <v/>
      </c>
      <c r="AF27" s="3" t="str">
        <f t="shared" si="25"/>
        <v/>
      </c>
      <c r="AG27" s="3" t="str">
        <f t="shared" si="26"/>
        <v/>
      </c>
      <c r="AH27" s="3" t="str">
        <f t="shared" si="27"/>
        <v/>
      </c>
    </row>
    <row r="28" spans="1:34" ht="23" customHeight="1">
      <c r="A28" t="s">
        <v>36</v>
      </c>
      <c r="B28" t="s">
        <v>65</v>
      </c>
      <c r="C28" t="s">
        <v>43</v>
      </c>
      <c r="D28" s="2">
        <v>46296</v>
      </c>
      <c r="E28" s="2">
        <v>46298</v>
      </c>
      <c r="F28">
        <f t="shared" si="0"/>
        <v>3</v>
      </c>
      <c r="G28">
        <v>100</v>
      </c>
      <c r="H28" t="str">
        <f t="shared" si="1"/>
        <v>Completado</v>
      </c>
      <c r="I28" s="3" t="str">
        <f t="shared" si="2"/>
        <v>■</v>
      </c>
      <c r="J28" s="3" t="str">
        <f t="shared" si="3"/>
        <v>■</v>
      </c>
      <c r="K28" s="3" t="str">
        <f t="shared" si="4"/>
        <v>■</v>
      </c>
      <c r="L28" s="3" t="str">
        <f t="shared" si="5"/>
        <v/>
      </c>
      <c r="M28" s="3" t="str">
        <f t="shared" si="6"/>
        <v/>
      </c>
      <c r="N28" s="3" t="str">
        <f t="shared" si="7"/>
        <v/>
      </c>
      <c r="O28" s="3" t="str">
        <f t="shared" si="8"/>
        <v/>
      </c>
      <c r="P28" s="3" t="str">
        <f t="shared" si="9"/>
        <v/>
      </c>
      <c r="Q28" s="3" t="str">
        <f t="shared" si="10"/>
        <v/>
      </c>
      <c r="R28" s="3" t="str">
        <f t="shared" si="11"/>
        <v/>
      </c>
      <c r="S28" s="3" t="str">
        <f t="shared" si="12"/>
        <v/>
      </c>
      <c r="T28" s="3" t="str">
        <f t="shared" si="13"/>
        <v/>
      </c>
      <c r="U28" s="3" t="str">
        <f t="shared" si="14"/>
        <v/>
      </c>
      <c r="V28" s="3" t="str">
        <f t="shared" si="15"/>
        <v/>
      </c>
      <c r="W28" s="3" t="str">
        <f t="shared" si="16"/>
        <v/>
      </c>
      <c r="X28" s="3" t="str">
        <f t="shared" si="17"/>
        <v/>
      </c>
      <c r="Y28" s="3" t="str">
        <f t="shared" si="18"/>
        <v/>
      </c>
      <c r="Z28" s="3" t="str">
        <f t="shared" si="19"/>
        <v/>
      </c>
      <c r="AA28" s="3" t="str">
        <f t="shared" si="20"/>
        <v/>
      </c>
      <c r="AB28" s="3" t="str">
        <f t="shared" si="21"/>
        <v/>
      </c>
      <c r="AC28" s="3" t="str">
        <f t="shared" si="22"/>
        <v/>
      </c>
      <c r="AD28" s="3" t="str">
        <f t="shared" si="23"/>
        <v/>
      </c>
      <c r="AE28" s="3" t="str">
        <f t="shared" si="24"/>
        <v/>
      </c>
      <c r="AF28" s="3" t="str">
        <f t="shared" si="25"/>
        <v/>
      </c>
      <c r="AG28" s="3" t="str">
        <f t="shared" si="26"/>
        <v/>
      </c>
      <c r="AH28" s="3" t="str">
        <f t="shared" si="27"/>
        <v/>
      </c>
    </row>
    <row r="29" spans="1:34" ht="23" customHeight="1">
      <c r="A29" t="s">
        <v>36</v>
      </c>
      <c r="B29" t="s">
        <v>66</v>
      </c>
      <c r="C29" t="s">
        <v>50</v>
      </c>
      <c r="D29" s="2">
        <v>46298</v>
      </c>
      <c r="E29" s="2">
        <v>46298</v>
      </c>
      <c r="F29">
        <f t="shared" si="0"/>
        <v>1</v>
      </c>
      <c r="G29">
        <v>100</v>
      </c>
      <c r="H29" t="str">
        <f t="shared" si="1"/>
        <v>Completado</v>
      </c>
      <c r="I29" s="3" t="str">
        <f t="shared" si="2"/>
        <v/>
      </c>
      <c r="J29" s="3" t="str">
        <f t="shared" si="3"/>
        <v/>
      </c>
      <c r="K29" s="3" t="str">
        <f t="shared" si="4"/>
        <v>■</v>
      </c>
      <c r="L29" s="3" t="str">
        <f t="shared" si="5"/>
        <v/>
      </c>
      <c r="M29" s="3" t="str">
        <f t="shared" si="6"/>
        <v/>
      </c>
      <c r="N29" s="3" t="str">
        <f t="shared" si="7"/>
        <v/>
      </c>
      <c r="O29" s="3" t="str">
        <f t="shared" si="8"/>
        <v/>
      </c>
      <c r="P29" s="3" t="str">
        <f t="shared" si="9"/>
        <v/>
      </c>
      <c r="Q29" s="3" t="str">
        <f t="shared" si="10"/>
        <v/>
      </c>
      <c r="R29" s="3" t="str">
        <f t="shared" si="11"/>
        <v/>
      </c>
      <c r="S29" s="3" t="str">
        <f t="shared" si="12"/>
        <v/>
      </c>
      <c r="T29" s="3" t="str">
        <f t="shared" si="13"/>
        <v/>
      </c>
      <c r="U29" s="3" t="str">
        <f t="shared" si="14"/>
        <v/>
      </c>
      <c r="V29" s="3" t="str">
        <f t="shared" si="15"/>
        <v/>
      </c>
      <c r="W29" s="3" t="str">
        <f t="shared" si="16"/>
        <v/>
      </c>
      <c r="X29" s="3" t="str">
        <f t="shared" si="17"/>
        <v/>
      </c>
      <c r="Y29" s="3" t="str">
        <f t="shared" si="18"/>
        <v/>
      </c>
      <c r="Z29" s="3" t="str">
        <f t="shared" si="19"/>
        <v/>
      </c>
      <c r="AA29" s="3" t="str">
        <f t="shared" si="20"/>
        <v/>
      </c>
      <c r="AB29" s="3" t="str">
        <f t="shared" si="21"/>
        <v/>
      </c>
      <c r="AC29" s="3" t="str">
        <f t="shared" si="22"/>
        <v/>
      </c>
      <c r="AD29" s="3" t="str">
        <f t="shared" si="23"/>
        <v/>
      </c>
      <c r="AE29" s="3" t="str">
        <f t="shared" si="24"/>
        <v/>
      </c>
      <c r="AF29" s="3" t="str">
        <f t="shared" si="25"/>
        <v/>
      </c>
      <c r="AG29" s="3" t="str">
        <f t="shared" si="26"/>
        <v/>
      </c>
      <c r="AH29" s="3" t="str">
        <f t="shared" si="27"/>
        <v/>
      </c>
    </row>
    <row r="30" spans="1:34" ht="23" customHeight="1">
      <c r="A30" t="s">
        <v>36</v>
      </c>
      <c r="B30" t="s">
        <v>67</v>
      </c>
      <c r="C30" t="s">
        <v>52</v>
      </c>
      <c r="D30" s="2">
        <v>46298</v>
      </c>
      <c r="E30" s="2">
        <v>46298</v>
      </c>
      <c r="F30">
        <f t="shared" si="0"/>
        <v>1</v>
      </c>
      <c r="G30">
        <v>100</v>
      </c>
      <c r="H30" t="str">
        <f t="shared" si="1"/>
        <v>Completado</v>
      </c>
      <c r="I30" s="3" t="str">
        <f t="shared" si="2"/>
        <v/>
      </c>
      <c r="J30" s="3" t="str">
        <f t="shared" si="3"/>
        <v/>
      </c>
      <c r="K30" s="3" t="str">
        <f t="shared" si="4"/>
        <v>■</v>
      </c>
      <c r="L30" s="3" t="str">
        <f t="shared" si="5"/>
        <v/>
      </c>
      <c r="M30" s="3" t="str">
        <f t="shared" si="6"/>
        <v/>
      </c>
      <c r="N30" s="3" t="str">
        <f t="shared" si="7"/>
        <v/>
      </c>
      <c r="O30" s="3" t="str">
        <f t="shared" si="8"/>
        <v/>
      </c>
      <c r="P30" s="3" t="str">
        <f t="shared" si="9"/>
        <v/>
      </c>
      <c r="Q30" s="3" t="str">
        <f t="shared" si="10"/>
        <v/>
      </c>
      <c r="R30" s="3" t="str">
        <f t="shared" si="11"/>
        <v/>
      </c>
      <c r="S30" s="3" t="str">
        <f t="shared" si="12"/>
        <v/>
      </c>
      <c r="T30" s="3" t="str">
        <f t="shared" si="13"/>
        <v/>
      </c>
      <c r="U30" s="3" t="str">
        <f t="shared" si="14"/>
        <v/>
      </c>
      <c r="V30" s="3" t="str">
        <f t="shared" si="15"/>
        <v/>
      </c>
      <c r="W30" s="3" t="str">
        <f t="shared" si="16"/>
        <v/>
      </c>
      <c r="X30" s="3" t="str">
        <f t="shared" si="17"/>
        <v/>
      </c>
      <c r="Y30" s="3" t="str">
        <f t="shared" si="18"/>
        <v/>
      </c>
      <c r="Z30" s="3" t="str">
        <f t="shared" si="19"/>
        <v/>
      </c>
      <c r="AA30" s="3" t="str">
        <f t="shared" si="20"/>
        <v/>
      </c>
      <c r="AB30" s="3" t="str">
        <f t="shared" si="21"/>
        <v/>
      </c>
      <c r="AC30" s="3" t="str">
        <f t="shared" si="22"/>
        <v/>
      </c>
      <c r="AD30" s="3" t="str">
        <f t="shared" si="23"/>
        <v/>
      </c>
      <c r="AE30" s="3" t="str">
        <f t="shared" si="24"/>
        <v/>
      </c>
      <c r="AF30" s="3" t="str">
        <f t="shared" si="25"/>
        <v/>
      </c>
      <c r="AG30" s="3" t="str">
        <f t="shared" si="26"/>
        <v/>
      </c>
      <c r="AH30" s="3" t="str">
        <f t="shared" si="27"/>
        <v/>
      </c>
    </row>
    <row r="31" spans="1:34" ht="23" customHeight="1">
      <c r="A31" t="s">
        <v>36</v>
      </c>
      <c r="B31" t="s">
        <v>68</v>
      </c>
      <c r="C31" t="s">
        <v>52</v>
      </c>
      <c r="D31" s="2">
        <v>46299</v>
      </c>
      <c r="E31" s="2">
        <v>46299</v>
      </c>
      <c r="F31">
        <f t="shared" si="0"/>
        <v>1</v>
      </c>
      <c r="G31">
        <v>100</v>
      </c>
      <c r="H31" t="str">
        <f t="shared" si="1"/>
        <v>Completado</v>
      </c>
      <c r="I31" s="3" t="str">
        <f t="shared" si="2"/>
        <v/>
      </c>
      <c r="J31" s="3" t="str">
        <f t="shared" si="3"/>
        <v/>
      </c>
      <c r="K31" s="3" t="str">
        <f t="shared" si="4"/>
        <v/>
      </c>
      <c r="L31" s="3" t="str">
        <f t="shared" si="5"/>
        <v>■</v>
      </c>
      <c r="M31" s="3" t="str">
        <f t="shared" si="6"/>
        <v/>
      </c>
      <c r="N31" s="3" t="str">
        <f t="shared" si="7"/>
        <v/>
      </c>
      <c r="O31" s="3" t="str">
        <f t="shared" si="8"/>
        <v/>
      </c>
      <c r="P31" s="3" t="str">
        <f t="shared" si="9"/>
        <v/>
      </c>
      <c r="Q31" s="3" t="str">
        <f t="shared" si="10"/>
        <v/>
      </c>
      <c r="R31" s="3" t="str">
        <f t="shared" si="11"/>
        <v/>
      </c>
      <c r="S31" s="3" t="str">
        <f t="shared" si="12"/>
        <v/>
      </c>
      <c r="T31" s="3" t="str">
        <f t="shared" si="13"/>
        <v/>
      </c>
      <c r="U31" s="3" t="str">
        <f t="shared" si="14"/>
        <v/>
      </c>
      <c r="V31" s="3" t="str">
        <f t="shared" si="15"/>
        <v/>
      </c>
      <c r="W31" s="3" t="str">
        <f t="shared" si="16"/>
        <v/>
      </c>
      <c r="X31" s="3" t="str">
        <f t="shared" si="17"/>
        <v/>
      </c>
      <c r="Y31" s="3" t="str">
        <f t="shared" si="18"/>
        <v/>
      </c>
      <c r="Z31" s="3" t="str">
        <f t="shared" si="19"/>
        <v/>
      </c>
      <c r="AA31" s="3" t="str">
        <f t="shared" si="20"/>
        <v/>
      </c>
      <c r="AB31" s="3" t="str">
        <f t="shared" si="21"/>
        <v/>
      </c>
      <c r="AC31" s="3" t="str">
        <f t="shared" si="22"/>
        <v/>
      </c>
      <c r="AD31" s="3" t="str">
        <f t="shared" si="23"/>
        <v/>
      </c>
      <c r="AE31" s="3" t="str">
        <f t="shared" si="24"/>
        <v/>
      </c>
      <c r="AF31" s="3" t="str">
        <f t="shared" si="25"/>
        <v/>
      </c>
      <c r="AG31" s="3" t="str">
        <f t="shared" si="26"/>
        <v/>
      </c>
      <c r="AH31" s="3" t="str">
        <f t="shared" si="27"/>
        <v/>
      </c>
    </row>
    <row r="32" spans="1:34" ht="23" customHeight="1">
      <c r="A32" t="s">
        <v>36</v>
      </c>
      <c r="B32" t="s">
        <v>69</v>
      </c>
      <c r="C32" t="s">
        <v>70</v>
      </c>
      <c r="D32" s="2">
        <v>46299</v>
      </c>
      <c r="E32" s="2">
        <v>46299</v>
      </c>
      <c r="F32">
        <f t="shared" si="0"/>
        <v>1</v>
      </c>
      <c r="G32">
        <v>100</v>
      </c>
      <c r="H32" t="str">
        <f t="shared" si="1"/>
        <v>Completado</v>
      </c>
      <c r="I32" s="3" t="str">
        <f t="shared" si="2"/>
        <v/>
      </c>
      <c r="J32" s="3" t="str">
        <f t="shared" si="3"/>
        <v/>
      </c>
      <c r="K32" s="3" t="str">
        <f t="shared" si="4"/>
        <v/>
      </c>
      <c r="L32" s="3" t="str">
        <f t="shared" si="5"/>
        <v>■</v>
      </c>
      <c r="M32" s="3" t="str">
        <f t="shared" si="6"/>
        <v/>
      </c>
      <c r="N32" s="3" t="str">
        <f t="shared" si="7"/>
        <v/>
      </c>
      <c r="O32" s="3" t="str">
        <f t="shared" si="8"/>
        <v/>
      </c>
      <c r="P32" s="3" t="str">
        <f t="shared" si="9"/>
        <v/>
      </c>
      <c r="Q32" s="3" t="str">
        <f t="shared" si="10"/>
        <v/>
      </c>
      <c r="R32" s="3" t="str">
        <f t="shared" si="11"/>
        <v/>
      </c>
      <c r="S32" s="3" t="str">
        <f t="shared" si="12"/>
        <v/>
      </c>
      <c r="T32" s="3" t="str">
        <f t="shared" si="13"/>
        <v/>
      </c>
      <c r="U32" s="3" t="str">
        <f t="shared" si="14"/>
        <v/>
      </c>
      <c r="V32" s="3" t="str">
        <f t="shared" si="15"/>
        <v/>
      </c>
      <c r="W32" s="3" t="str">
        <f t="shared" si="16"/>
        <v/>
      </c>
      <c r="X32" s="3" t="str">
        <f t="shared" si="17"/>
        <v/>
      </c>
      <c r="Y32" s="3" t="str">
        <f t="shared" si="18"/>
        <v/>
      </c>
      <c r="Z32" s="3" t="str">
        <f t="shared" si="19"/>
        <v/>
      </c>
      <c r="AA32" s="3" t="str">
        <f t="shared" si="20"/>
        <v/>
      </c>
      <c r="AB32" s="3" t="str">
        <f t="shared" si="21"/>
        <v/>
      </c>
      <c r="AC32" s="3" t="str">
        <f t="shared" si="22"/>
        <v/>
      </c>
      <c r="AD32" s="3" t="str">
        <f t="shared" si="23"/>
        <v/>
      </c>
      <c r="AE32" s="3" t="str">
        <f t="shared" si="24"/>
        <v/>
      </c>
      <c r="AF32" s="3" t="str">
        <f t="shared" si="25"/>
        <v/>
      </c>
      <c r="AG32" s="3" t="str">
        <f t="shared" si="26"/>
        <v/>
      </c>
      <c r="AH32" s="3" t="str">
        <f t="shared" si="27"/>
        <v/>
      </c>
    </row>
    <row r="33" spans="1:34" ht="23" customHeight="1">
      <c r="A33" t="s">
        <v>36</v>
      </c>
      <c r="B33" t="s">
        <v>71</v>
      </c>
      <c r="C33" t="s">
        <v>38</v>
      </c>
      <c r="D33" s="2">
        <v>46299</v>
      </c>
      <c r="E33" s="2">
        <v>46299</v>
      </c>
      <c r="F33">
        <f t="shared" si="0"/>
        <v>1</v>
      </c>
      <c r="G33">
        <v>100</v>
      </c>
      <c r="H33" t="str">
        <f t="shared" si="1"/>
        <v>Completado</v>
      </c>
      <c r="I33" s="3" t="str">
        <f t="shared" si="2"/>
        <v/>
      </c>
      <c r="J33" s="3" t="str">
        <f t="shared" si="3"/>
        <v/>
      </c>
      <c r="K33" s="3" t="str">
        <f t="shared" si="4"/>
        <v/>
      </c>
      <c r="L33" s="3" t="str">
        <f t="shared" si="5"/>
        <v>■</v>
      </c>
      <c r="M33" s="3" t="str">
        <f t="shared" si="6"/>
        <v/>
      </c>
      <c r="N33" s="3" t="str">
        <f t="shared" si="7"/>
        <v/>
      </c>
      <c r="O33" s="3" t="str">
        <f t="shared" si="8"/>
        <v/>
      </c>
      <c r="P33" s="3" t="str">
        <f t="shared" si="9"/>
        <v/>
      </c>
      <c r="Q33" s="3" t="str">
        <f t="shared" si="10"/>
        <v/>
      </c>
      <c r="R33" s="3" t="str">
        <f t="shared" si="11"/>
        <v/>
      </c>
      <c r="S33" s="3" t="str">
        <f t="shared" si="12"/>
        <v/>
      </c>
      <c r="T33" s="3" t="str">
        <f t="shared" si="13"/>
        <v/>
      </c>
      <c r="U33" s="3" t="str">
        <f t="shared" si="14"/>
        <v/>
      </c>
      <c r="V33" s="3" t="str">
        <f t="shared" si="15"/>
        <v/>
      </c>
      <c r="W33" s="3" t="str">
        <f t="shared" si="16"/>
        <v/>
      </c>
      <c r="X33" s="3" t="str">
        <f t="shared" si="17"/>
        <v/>
      </c>
      <c r="Y33" s="3" t="str">
        <f t="shared" si="18"/>
        <v/>
      </c>
      <c r="Z33" s="3" t="str">
        <f t="shared" si="19"/>
        <v/>
      </c>
      <c r="AA33" s="3" t="str">
        <f t="shared" si="20"/>
        <v/>
      </c>
      <c r="AB33" s="3" t="str">
        <f t="shared" si="21"/>
        <v/>
      </c>
      <c r="AC33" s="3" t="str">
        <f t="shared" si="22"/>
        <v/>
      </c>
      <c r="AD33" s="3" t="str">
        <f t="shared" si="23"/>
        <v/>
      </c>
      <c r="AE33" s="3" t="str">
        <f t="shared" si="24"/>
        <v/>
      </c>
      <c r="AF33" s="3" t="str">
        <f t="shared" si="25"/>
        <v/>
      </c>
      <c r="AG33" s="3" t="str">
        <f t="shared" si="26"/>
        <v/>
      </c>
      <c r="AH33" s="3" t="str">
        <f t="shared" si="27"/>
        <v/>
      </c>
    </row>
    <row r="34" spans="1:34" ht="23" customHeight="1">
      <c r="A34" t="s">
        <v>36</v>
      </c>
      <c r="B34" t="s">
        <v>72</v>
      </c>
      <c r="C34" t="s">
        <v>70</v>
      </c>
      <c r="D34" s="2">
        <v>46298</v>
      </c>
      <c r="E34" s="2">
        <v>46298</v>
      </c>
      <c r="F34">
        <f t="shared" si="0"/>
        <v>1</v>
      </c>
      <c r="G34">
        <v>100</v>
      </c>
      <c r="H34" t="str">
        <f t="shared" si="1"/>
        <v>Completado</v>
      </c>
      <c r="I34" s="3" t="str">
        <f t="shared" si="2"/>
        <v/>
      </c>
      <c r="J34" s="3" t="str">
        <f t="shared" si="3"/>
        <v/>
      </c>
      <c r="K34" s="3" t="str">
        <f t="shared" si="4"/>
        <v>■</v>
      </c>
      <c r="L34" s="3" t="str">
        <f t="shared" si="5"/>
        <v/>
      </c>
      <c r="M34" s="3" t="str">
        <f t="shared" si="6"/>
        <v/>
      </c>
      <c r="N34" s="3" t="str">
        <f t="shared" si="7"/>
        <v/>
      </c>
      <c r="O34" s="3" t="str">
        <f t="shared" si="8"/>
        <v/>
      </c>
      <c r="P34" s="3" t="str">
        <f t="shared" si="9"/>
        <v/>
      </c>
      <c r="Q34" s="3" t="str">
        <f t="shared" si="10"/>
        <v/>
      </c>
      <c r="R34" s="3" t="str">
        <f t="shared" si="11"/>
        <v/>
      </c>
      <c r="S34" s="3" t="str">
        <f t="shared" si="12"/>
        <v/>
      </c>
      <c r="T34" s="3" t="str">
        <f t="shared" si="13"/>
        <v/>
      </c>
      <c r="U34" s="3" t="str">
        <f t="shared" si="14"/>
        <v/>
      </c>
      <c r="V34" s="3" t="str">
        <f t="shared" si="15"/>
        <v/>
      </c>
      <c r="W34" s="3" t="str">
        <f t="shared" si="16"/>
        <v/>
      </c>
      <c r="X34" s="3" t="str">
        <f t="shared" si="17"/>
        <v/>
      </c>
      <c r="Y34" s="3" t="str">
        <f t="shared" si="18"/>
        <v/>
      </c>
      <c r="Z34" s="3" t="str">
        <f t="shared" si="19"/>
        <v/>
      </c>
      <c r="AA34" s="3" t="str">
        <f t="shared" si="20"/>
        <v/>
      </c>
      <c r="AB34" s="3" t="str">
        <f t="shared" si="21"/>
        <v/>
      </c>
      <c r="AC34" s="3" t="str">
        <f t="shared" si="22"/>
        <v/>
      </c>
      <c r="AD34" s="3" t="str">
        <f t="shared" si="23"/>
        <v/>
      </c>
      <c r="AE34" s="3" t="str">
        <f t="shared" si="24"/>
        <v/>
      </c>
      <c r="AF34" s="3" t="str">
        <f t="shared" si="25"/>
        <v/>
      </c>
      <c r="AG34" s="3" t="str">
        <f t="shared" si="26"/>
        <v/>
      </c>
      <c r="AH34" s="3" t="str">
        <f t="shared" si="27"/>
        <v/>
      </c>
    </row>
    <row r="35" spans="1:34" ht="23" customHeight="1">
      <c r="A35" t="s">
        <v>36</v>
      </c>
      <c r="B35" t="s">
        <v>73</v>
      </c>
      <c r="C35" t="s">
        <v>70</v>
      </c>
      <c r="D35" s="2">
        <v>46299</v>
      </c>
      <c r="E35" s="2">
        <v>46299</v>
      </c>
      <c r="F35">
        <f t="shared" si="0"/>
        <v>1</v>
      </c>
      <c r="G35">
        <v>100</v>
      </c>
      <c r="H35" t="str">
        <f t="shared" si="1"/>
        <v>Completado</v>
      </c>
      <c r="I35" s="3" t="str">
        <f t="shared" si="2"/>
        <v/>
      </c>
      <c r="J35" s="3" t="str">
        <f t="shared" si="3"/>
        <v/>
      </c>
      <c r="K35" s="3" t="str">
        <f t="shared" si="4"/>
        <v/>
      </c>
      <c r="L35" s="3" t="str">
        <f t="shared" si="5"/>
        <v>■</v>
      </c>
      <c r="M35" s="3" t="str">
        <f t="shared" si="6"/>
        <v/>
      </c>
      <c r="N35" s="3" t="str">
        <f t="shared" si="7"/>
        <v/>
      </c>
      <c r="O35" s="3" t="str">
        <f t="shared" si="8"/>
        <v/>
      </c>
      <c r="P35" s="3" t="str">
        <f t="shared" si="9"/>
        <v/>
      </c>
      <c r="Q35" s="3" t="str">
        <f t="shared" si="10"/>
        <v/>
      </c>
      <c r="R35" s="3" t="str">
        <f t="shared" si="11"/>
        <v/>
      </c>
      <c r="S35" s="3" t="str">
        <f t="shared" si="12"/>
        <v/>
      </c>
      <c r="T35" s="3" t="str">
        <f t="shared" si="13"/>
        <v/>
      </c>
      <c r="U35" s="3" t="str">
        <f t="shared" si="14"/>
        <v/>
      </c>
      <c r="V35" s="3" t="str">
        <f t="shared" si="15"/>
        <v/>
      </c>
      <c r="W35" s="3" t="str">
        <f t="shared" si="16"/>
        <v/>
      </c>
      <c r="X35" s="3" t="str">
        <f t="shared" si="17"/>
        <v/>
      </c>
      <c r="Y35" s="3" t="str">
        <f t="shared" si="18"/>
        <v/>
      </c>
      <c r="Z35" s="3" t="str">
        <f t="shared" si="19"/>
        <v/>
      </c>
      <c r="AA35" s="3" t="str">
        <f t="shared" si="20"/>
        <v/>
      </c>
      <c r="AB35" s="3" t="str">
        <f t="shared" si="21"/>
        <v/>
      </c>
      <c r="AC35" s="3" t="str">
        <f t="shared" si="22"/>
        <v/>
      </c>
      <c r="AD35" s="3" t="str">
        <f t="shared" si="23"/>
        <v/>
      </c>
      <c r="AE35" s="3" t="str">
        <f t="shared" si="24"/>
        <v/>
      </c>
      <c r="AF35" s="3" t="str">
        <f t="shared" si="25"/>
        <v/>
      </c>
      <c r="AG35" s="3" t="str">
        <f t="shared" si="26"/>
        <v/>
      </c>
      <c r="AH35" s="3" t="str">
        <f t="shared" si="27"/>
        <v/>
      </c>
    </row>
    <row r="36" spans="1:34" ht="23" customHeight="1">
      <c r="A36" t="s">
        <v>36</v>
      </c>
      <c r="B36" t="s">
        <v>74</v>
      </c>
      <c r="C36" t="s">
        <v>55</v>
      </c>
      <c r="D36" s="2">
        <v>46299</v>
      </c>
      <c r="E36" s="2">
        <v>46299</v>
      </c>
      <c r="F36">
        <f t="shared" si="0"/>
        <v>1</v>
      </c>
      <c r="G36">
        <v>100</v>
      </c>
      <c r="H36" t="str">
        <f t="shared" si="1"/>
        <v>Completado</v>
      </c>
      <c r="I36" s="3" t="str">
        <f t="shared" si="2"/>
        <v/>
      </c>
      <c r="J36" s="3" t="str">
        <f t="shared" si="3"/>
        <v/>
      </c>
      <c r="K36" s="3" t="str">
        <f t="shared" si="4"/>
        <v/>
      </c>
      <c r="L36" s="3" t="str">
        <f t="shared" si="5"/>
        <v>■</v>
      </c>
      <c r="M36" s="3" t="str">
        <f t="shared" si="6"/>
        <v/>
      </c>
      <c r="N36" s="3" t="str">
        <f t="shared" si="7"/>
        <v/>
      </c>
      <c r="O36" s="3" t="str">
        <f t="shared" si="8"/>
        <v/>
      </c>
      <c r="P36" s="3" t="str">
        <f t="shared" si="9"/>
        <v/>
      </c>
      <c r="Q36" s="3" t="str">
        <f t="shared" si="10"/>
        <v/>
      </c>
      <c r="R36" s="3" t="str">
        <f t="shared" si="11"/>
        <v/>
      </c>
      <c r="S36" s="3" t="str">
        <f t="shared" si="12"/>
        <v/>
      </c>
      <c r="T36" s="3" t="str">
        <f t="shared" si="13"/>
        <v/>
      </c>
      <c r="U36" s="3" t="str">
        <f t="shared" si="14"/>
        <v/>
      </c>
      <c r="V36" s="3" t="str">
        <f t="shared" si="15"/>
        <v/>
      </c>
      <c r="W36" s="3" t="str">
        <f t="shared" si="16"/>
        <v/>
      </c>
      <c r="X36" s="3" t="str">
        <f t="shared" si="17"/>
        <v/>
      </c>
      <c r="Y36" s="3" t="str">
        <f t="shared" si="18"/>
        <v/>
      </c>
      <c r="Z36" s="3" t="str">
        <f t="shared" si="19"/>
        <v/>
      </c>
      <c r="AA36" s="3" t="str">
        <f t="shared" si="20"/>
        <v/>
      </c>
      <c r="AB36" s="3" t="str">
        <f t="shared" si="21"/>
        <v/>
      </c>
      <c r="AC36" s="3" t="str">
        <f t="shared" si="22"/>
        <v/>
      </c>
      <c r="AD36" s="3" t="str">
        <f t="shared" si="23"/>
        <v/>
      </c>
      <c r="AE36" s="3" t="str">
        <f t="shared" si="24"/>
        <v/>
      </c>
      <c r="AF36" s="3" t="str">
        <f t="shared" si="25"/>
        <v/>
      </c>
      <c r="AG36" s="3" t="str">
        <f t="shared" si="26"/>
        <v/>
      </c>
      <c r="AH36" s="3" t="str">
        <f t="shared" si="27"/>
        <v/>
      </c>
    </row>
    <row r="37" spans="1:34" ht="23" customHeight="1">
      <c r="A37" t="s">
        <v>36</v>
      </c>
      <c r="B37" t="s">
        <v>75</v>
      </c>
      <c r="C37" t="s">
        <v>38</v>
      </c>
      <c r="D37" s="2">
        <v>46300</v>
      </c>
      <c r="E37" s="2">
        <v>46300</v>
      </c>
      <c r="F37">
        <f t="shared" si="0"/>
        <v>1</v>
      </c>
      <c r="G37">
        <v>100</v>
      </c>
      <c r="H37" t="str">
        <f t="shared" si="1"/>
        <v>Completado</v>
      </c>
      <c r="I37" s="3" t="str">
        <f t="shared" si="2"/>
        <v/>
      </c>
      <c r="J37" s="3" t="str">
        <f t="shared" si="3"/>
        <v/>
      </c>
      <c r="K37" s="3" t="str">
        <f t="shared" si="4"/>
        <v/>
      </c>
      <c r="L37" s="3" t="str">
        <f t="shared" si="5"/>
        <v/>
      </c>
      <c r="M37" s="3" t="str">
        <f t="shared" si="6"/>
        <v>■</v>
      </c>
      <c r="N37" s="3" t="str">
        <f t="shared" si="7"/>
        <v/>
      </c>
      <c r="O37" s="3" t="str">
        <f t="shared" si="8"/>
        <v/>
      </c>
      <c r="P37" s="3" t="str">
        <f t="shared" si="9"/>
        <v/>
      </c>
      <c r="Q37" s="3" t="str">
        <f t="shared" si="10"/>
        <v/>
      </c>
      <c r="R37" s="3" t="str">
        <f t="shared" si="11"/>
        <v/>
      </c>
      <c r="S37" s="3" t="str">
        <f t="shared" si="12"/>
        <v/>
      </c>
      <c r="T37" s="3" t="str">
        <f t="shared" si="13"/>
        <v/>
      </c>
      <c r="U37" s="3" t="str">
        <f t="shared" si="14"/>
        <v/>
      </c>
      <c r="V37" s="3" t="str">
        <f t="shared" si="15"/>
        <v/>
      </c>
      <c r="W37" s="3" t="str">
        <f t="shared" si="16"/>
        <v/>
      </c>
      <c r="X37" s="3" t="str">
        <f t="shared" si="17"/>
        <v/>
      </c>
      <c r="Y37" s="3" t="str">
        <f t="shared" si="18"/>
        <v/>
      </c>
      <c r="Z37" s="3" t="str">
        <f t="shared" si="19"/>
        <v/>
      </c>
      <c r="AA37" s="3" t="str">
        <f t="shared" si="20"/>
        <v/>
      </c>
      <c r="AB37" s="3" t="str">
        <f t="shared" si="21"/>
        <v/>
      </c>
      <c r="AC37" s="3" t="str">
        <f t="shared" si="22"/>
        <v/>
      </c>
      <c r="AD37" s="3" t="str">
        <f t="shared" si="23"/>
        <v/>
      </c>
      <c r="AE37" s="3" t="str">
        <f t="shared" si="24"/>
        <v/>
      </c>
      <c r="AF37" s="3" t="str">
        <f t="shared" si="25"/>
        <v/>
      </c>
      <c r="AG37" s="3" t="str">
        <f t="shared" si="26"/>
        <v/>
      </c>
      <c r="AH37" s="3" t="str">
        <f t="shared" si="27"/>
        <v/>
      </c>
    </row>
    <row r="38" spans="1:34" ht="23" customHeight="1">
      <c r="A38" s="6" t="s">
        <v>36</v>
      </c>
      <c r="B38" s="6" t="s">
        <v>76</v>
      </c>
      <c r="C38" s="6" t="s">
        <v>38</v>
      </c>
      <c r="D38" s="7">
        <v>46300</v>
      </c>
      <c r="E38" s="7">
        <v>46300</v>
      </c>
      <c r="F38" s="6">
        <f t="shared" si="0"/>
        <v>1</v>
      </c>
      <c r="G38" s="6">
        <v>100</v>
      </c>
      <c r="H38" s="6" t="str">
        <f t="shared" si="1"/>
        <v>Completado</v>
      </c>
      <c r="I38" s="3" t="str">
        <f t="shared" si="2"/>
        <v/>
      </c>
      <c r="J38" s="3" t="str">
        <f t="shared" si="3"/>
        <v/>
      </c>
      <c r="K38" s="3" t="str">
        <f t="shared" si="4"/>
        <v/>
      </c>
      <c r="L38" s="3" t="str">
        <f t="shared" si="5"/>
        <v/>
      </c>
      <c r="M38" s="3" t="str">
        <f t="shared" si="6"/>
        <v>■</v>
      </c>
      <c r="N38" s="3" t="str">
        <f t="shared" si="7"/>
        <v/>
      </c>
      <c r="O38" s="3" t="str">
        <f t="shared" si="8"/>
        <v/>
      </c>
      <c r="P38" s="3" t="str">
        <f t="shared" si="9"/>
        <v/>
      </c>
      <c r="Q38" s="3" t="str">
        <f t="shared" si="10"/>
        <v/>
      </c>
      <c r="R38" s="3" t="str">
        <f t="shared" si="11"/>
        <v/>
      </c>
      <c r="S38" s="3" t="str">
        <f t="shared" si="12"/>
        <v/>
      </c>
      <c r="T38" s="3" t="str">
        <f t="shared" si="13"/>
        <v/>
      </c>
      <c r="U38" s="3" t="str">
        <f t="shared" si="14"/>
        <v/>
      </c>
      <c r="V38" s="3" t="str">
        <f t="shared" si="15"/>
        <v/>
      </c>
      <c r="W38" s="3" t="str">
        <f t="shared" si="16"/>
        <v/>
      </c>
      <c r="X38" s="3" t="str">
        <f t="shared" si="17"/>
        <v/>
      </c>
      <c r="Y38" s="3" t="str">
        <f t="shared" si="18"/>
        <v/>
      </c>
      <c r="Z38" s="3" t="str">
        <f t="shared" si="19"/>
        <v/>
      </c>
      <c r="AA38" s="3" t="str">
        <f t="shared" si="20"/>
        <v/>
      </c>
      <c r="AB38" s="3" t="str">
        <f t="shared" si="21"/>
        <v/>
      </c>
      <c r="AC38" s="3" t="str">
        <f t="shared" si="22"/>
        <v/>
      </c>
      <c r="AD38" s="3" t="str">
        <f t="shared" si="23"/>
        <v/>
      </c>
      <c r="AE38" s="3" t="str">
        <f t="shared" si="24"/>
        <v/>
      </c>
      <c r="AF38" s="3" t="str">
        <f t="shared" si="25"/>
        <v/>
      </c>
      <c r="AG38" s="3" t="str">
        <f t="shared" si="26"/>
        <v/>
      </c>
      <c r="AH38" s="3" t="str">
        <f t="shared" si="27"/>
        <v/>
      </c>
    </row>
    <row r="39" spans="1:34" ht="23" customHeight="1">
      <c r="A39" s="6" t="s">
        <v>36</v>
      </c>
      <c r="B39" s="6" t="s">
        <v>116</v>
      </c>
      <c r="C39" s="6" t="s">
        <v>111</v>
      </c>
      <c r="D39" s="7">
        <v>46303</v>
      </c>
      <c r="E39" s="7">
        <v>46303</v>
      </c>
      <c r="F39" s="6">
        <f t="shared" si="0"/>
        <v>1</v>
      </c>
      <c r="G39" s="6">
        <v>100</v>
      </c>
      <c r="H39" s="6" t="str">
        <f t="shared" si="1"/>
        <v>Completado</v>
      </c>
      <c r="I39" s="3" t="str">
        <f t="shared" si="2"/>
        <v/>
      </c>
      <c r="J39" s="3" t="str">
        <f t="shared" si="3"/>
        <v/>
      </c>
      <c r="K39" s="3" t="str">
        <f t="shared" si="4"/>
        <v/>
      </c>
      <c r="L39" s="3" t="str">
        <f t="shared" si="5"/>
        <v/>
      </c>
      <c r="M39" s="3" t="str">
        <f t="shared" si="6"/>
        <v/>
      </c>
      <c r="N39" s="3" t="str">
        <f t="shared" si="7"/>
        <v/>
      </c>
      <c r="O39" s="3" t="str">
        <f t="shared" si="8"/>
        <v/>
      </c>
      <c r="P39" s="3" t="str">
        <f t="shared" si="9"/>
        <v>■</v>
      </c>
      <c r="Q39" s="3" t="str">
        <f t="shared" si="10"/>
        <v/>
      </c>
      <c r="R39" s="3" t="str">
        <f t="shared" si="11"/>
        <v/>
      </c>
      <c r="S39" s="3" t="str">
        <f t="shared" si="12"/>
        <v/>
      </c>
      <c r="T39" s="3" t="str">
        <f t="shared" si="13"/>
        <v/>
      </c>
      <c r="U39" s="3" t="str">
        <f t="shared" si="14"/>
        <v/>
      </c>
      <c r="V39" s="3" t="str">
        <f t="shared" si="15"/>
        <v/>
      </c>
      <c r="W39" s="3" t="str">
        <f t="shared" si="16"/>
        <v/>
      </c>
      <c r="X39" s="3" t="str">
        <f t="shared" si="17"/>
        <v/>
      </c>
      <c r="Y39" s="3" t="str">
        <f t="shared" si="18"/>
        <v/>
      </c>
      <c r="Z39" s="3" t="str">
        <f t="shared" si="19"/>
        <v/>
      </c>
      <c r="AA39" s="3" t="str">
        <f t="shared" si="20"/>
        <v/>
      </c>
      <c r="AB39" s="3" t="str">
        <f t="shared" si="21"/>
        <v/>
      </c>
      <c r="AC39" s="3" t="str">
        <f t="shared" si="22"/>
        <v/>
      </c>
      <c r="AD39" s="3" t="str">
        <f t="shared" si="23"/>
        <v/>
      </c>
      <c r="AE39" s="3" t="str">
        <f t="shared" si="24"/>
        <v/>
      </c>
      <c r="AF39" s="3" t="str">
        <f t="shared" si="25"/>
        <v/>
      </c>
      <c r="AG39" s="3" t="str">
        <f t="shared" si="26"/>
        <v/>
      </c>
      <c r="AH39" s="3" t="str">
        <f t="shared" si="27"/>
        <v/>
      </c>
    </row>
    <row r="40" spans="1:34" ht="34" customHeight="1">
      <c r="A40" s="8" t="s">
        <v>77</v>
      </c>
      <c r="B40" s="10" t="s">
        <v>78</v>
      </c>
      <c r="C40" s="10" t="s">
        <v>79</v>
      </c>
      <c r="D40" s="9">
        <v>46305</v>
      </c>
      <c r="E40" s="9">
        <v>46306</v>
      </c>
      <c r="F40" s="8">
        <f t="shared" si="0"/>
        <v>2</v>
      </c>
      <c r="G40" s="8">
        <v>100</v>
      </c>
      <c r="H40" s="8" t="str">
        <f t="shared" si="1"/>
        <v>Completado</v>
      </c>
      <c r="I40" s="3" t="str">
        <f t="shared" si="2"/>
        <v/>
      </c>
      <c r="J40" s="3" t="str">
        <f t="shared" si="3"/>
        <v/>
      </c>
      <c r="K40" s="3" t="str">
        <f t="shared" si="4"/>
        <v/>
      </c>
      <c r="L40" s="3" t="str">
        <f t="shared" si="5"/>
        <v/>
      </c>
      <c r="M40" s="3" t="str">
        <f t="shared" si="6"/>
        <v/>
      </c>
      <c r="N40" s="3" t="str">
        <f t="shared" si="7"/>
        <v/>
      </c>
      <c r="O40" s="3" t="str">
        <f t="shared" si="8"/>
        <v/>
      </c>
      <c r="P40" s="3" t="str">
        <f t="shared" si="9"/>
        <v/>
      </c>
      <c r="Q40" s="3" t="str">
        <f t="shared" si="10"/>
        <v/>
      </c>
      <c r="R40" s="3" t="str">
        <f t="shared" si="11"/>
        <v>■</v>
      </c>
      <c r="S40" s="3" t="str">
        <f t="shared" si="12"/>
        <v>■</v>
      </c>
      <c r="T40" s="3" t="str">
        <f t="shared" si="13"/>
        <v/>
      </c>
      <c r="U40" s="3" t="str">
        <f t="shared" si="14"/>
        <v/>
      </c>
      <c r="V40" s="3" t="str">
        <f t="shared" si="15"/>
        <v/>
      </c>
      <c r="W40" s="3" t="str">
        <f t="shared" si="16"/>
        <v/>
      </c>
      <c r="X40" s="3" t="str">
        <f t="shared" si="17"/>
        <v/>
      </c>
      <c r="Y40" s="3" t="str">
        <f t="shared" si="18"/>
        <v/>
      </c>
      <c r="Z40" s="3" t="str">
        <f t="shared" si="19"/>
        <v/>
      </c>
      <c r="AA40" s="3" t="str">
        <f t="shared" si="20"/>
        <v/>
      </c>
      <c r="AB40" s="3" t="str">
        <f t="shared" si="21"/>
        <v/>
      </c>
      <c r="AC40" s="3" t="str">
        <f t="shared" si="22"/>
        <v/>
      </c>
      <c r="AD40" s="3" t="str">
        <f t="shared" si="23"/>
        <v/>
      </c>
      <c r="AE40" s="3" t="str">
        <f t="shared" si="24"/>
        <v/>
      </c>
      <c r="AF40" s="3" t="str">
        <f t="shared" si="25"/>
        <v/>
      </c>
      <c r="AG40" s="3" t="str">
        <f t="shared" si="26"/>
        <v/>
      </c>
      <c r="AH40" s="3" t="str">
        <f t="shared" si="27"/>
        <v/>
      </c>
    </row>
    <row r="41" spans="1:34" ht="34" customHeight="1">
      <c r="A41" s="11" t="s">
        <v>77</v>
      </c>
      <c r="B41" s="13" t="s">
        <v>80</v>
      </c>
      <c r="C41" s="13" t="s">
        <v>81</v>
      </c>
      <c r="D41" s="12">
        <v>46311</v>
      </c>
      <c r="E41" s="12">
        <v>46312</v>
      </c>
      <c r="F41" s="11">
        <f t="shared" si="0"/>
        <v>2</v>
      </c>
      <c r="G41" s="11">
        <v>100</v>
      </c>
      <c r="H41" s="11" t="str">
        <f t="shared" si="1"/>
        <v>Completado</v>
      </c>
      <c r="I41" s="3" t="str">
        <f t="shared" si="2"/>
        <v/>
      </c>
      <c r="J41" s="3" t="str">
        <f t="shared" si="3"/>
        <v/>
      </c>
      <c r="K41" s="3" t="str">
        <f t="shared" si="4"/>
        <v/>
      </c>
      <c r="L41" s="3" t="str">
        <f t="shared" si="5"/>
        <v/>
      </c>
      <c r="M41" s="3" t="str">
        <f t="shared" si="6"/>
        <v/>
      </c>
      <c r="N41" s="3" t="str">
        <f t="shared" si="7"/>
        <v/>
      </c>
      <c r="O41" s="3" t="str">
        <f t="shared" si="8"/>
        <v/>
      </c>
      <c r="P41" s="3" t="str">
        <f t="shared" si="9"/>
        <v/>
      </c>
      <c r="Q41" s="3" t="str">
        <f t="shared" si="10"/>
        <v/>
      </c>
      <c r="R41" s="3" t="str">
        <f t="shared" si="11"/>
        <v/>
      </c>
      <c r="S41" s="3" t="str">
        <f t="shared" si="12"/>
        <v/>
      </c>
      <c r="T41" s="3" t="str">
        <f t="shared" si="13"/>
        <v/>
      </c>
      <c r="U41" s="3" t="str">
        <f t="shared" si="14"/>
        <v/>
      </c>
      <c r="V41" s="3" t="str">
        <f t="shared" si="15"/>
        <v/>
      </c>
      <c r="W41" s="3" t="str">
        <f t="shared" si="16"/>
        <v/>
      </c>
      <c r="X41" s="3" t="str">
        <f t="shared" si="17"/>
        <v>■</v>
      </c>
      <c r="Y41" s="3" t="str">
        <f t="shared" si="18"/>
        <v>■</v>
      </c>
      <c r="Z41" s="3" t="str">
        <f t="shared" si="19"/>
        <v/>
      </c>
      <c r="AA41" s="3" t="str">
        <f t="shared" si="20"/>
        <v/>
      </c>
      <c r="AB41" s="3" t="str">
        <f t="shared" si="21"/>
        <v/>
      </c>
      <c r="AC41" s="3" t="str">
        <f t="shared" si="22"/>
        <v/>
      </c>
      <c r="AD41" s="3" t="str">
        <f t="shared" si="23"/>
        <v/>
      </c>
      <c r="AE41" s="3" t="str">
        <f t="shared" si="24"/>
        <v/>
      </c>
      <c r="AF41" s="3" t="str">
        <f t="shared" si="25"/>
        <v/>
      </c>
      <c r="AG41" s="3" t="str">
        <f t="shared" si="26"/>
        <v/>
      </c>
      <c r="AH41" s="3" t="str">
        <f t="shared" si="27"/>
        <v/>
      </c>
    </row>
    <row r="42" spans="1:34" ht="34" customHeight="1">
      <c r="A42" s="8" t="s">
        <v>77</v>
      </c>
      <c r="B42" s="10" t="s">
        <v>82</v>
      </c>
      <c r="C42" s="10" t="s">
        <v>83</v>
      </c>
      <c r="D42" s="9"/>
      <c r="E42" s="9"/>
      <c r="F42" s="8">
        <f t="shared" si="0"/>
        <v>1</v>
      </c>
      <c r="G42" s="8">
        <v>0</v>
      </c>
      <c r="H42" s="8" t="str">
        <f t="shared" si="1"/>
        <v>Pendiente</v>
      </c>
      <c r="I42" s="3" t="str">
        <f t="shared" si="2"/>
        <v/>
      </c>
      <c r="J42" s="3" t="str">
        <f t="shared" si="3"/>
        <v/>
      </c>
      <c r="K42" s="3" t="str">
        <f t="shared" si="4"/>
        <v/>
      </c>
      <c r="L42" s="3" t="str">
        <f t="shared" si="5"/>
        <v/>
      </c>
      <c r="M42" s="3" t="str">
        <f t="shared" si="6"/>
        <v/>
      </c>
      <c r="N42" s="3" t="str">
        <f t="shared" si="7"/>
        <v/>
      </c>
      <c r="O42" s="3" t="str">
        <f t="shared" si="8"/>
        <v/>
      </c>
      <c r="P42" s="3" t="str">
        <f t="shared" si="9"/>
        <v/>
      </c>
      <c r="Q42" s="3" t="str">
        <f t="shared" si="10"/>
        <v/>
      </c>
      <c r="R42" s="3" t="str">
        <f t="shared" si="11"/>
        <v/>
      </c>
      <c r="S42" s="3" t="str">
        <f t="shared" si="12"/>
        <v/>
      </c>
      <c r="T42" s="3" t="str">
        <f t="shared" si="13"/>
        <v/>
      </c>
      <c r="U42" s="3" t="str">
        <f t="shared" si="14"/>
        <v/>
      </c>
      <c r="V42" s="3" t="str">
        <f t="shared" si="15"/>
        <v/>
      </c>
      <c r="W42" s="3" t="str">
        <f t="shared" si="16"/>
        <v/>
      </c>
      <c r="X42" s="3" t="str">
        <f t="shared" si="17"/>
        <v/>
      </c>
      <c r="Y42" s="3" t="str">
        <f t="shared" si="18"/>
        <v/>
      </c>
      <c r="Z42" s="3" t="str">
        <f t="shared" si="19"/>
        <v/>
      </c>
      <c r="AA42" s="3" t="str">
        <f t="shared" si="20"/>
        <v/>
      </c>
      <c r="AB42" s="3" t="str">
        <f t="shared" si="21"/>
        <v/>
      </c>
      <c r="AC42" s="3" t="str">
        <f t="shared" si="22"/>
        <v/>
      </c>
      <c r="AD42" s="3" t="str">
        <f t="shared" si="23"/>
        <v/>
      </c>
      <c r="AE42" s="3" t="str">
        <f t="shared" si="24"/>
        <v/>
      </c>
      <c r="AF42" s="3" t="str">
        <f t="shared" si="25"/>
        <v/>
      </c>
      <c r="AG42" s="3" t="str">
        <f t="shared" si="26"/>
        <v/>
      </c>
      <c r="AH42" s="3" t="str">
        <f t="shared" si="27"/>
        <v/>
      </c>
    </row>
    <row r="43" spans="1:34" ht="34" customHeight="1">
      <c r="A43" s="11" t="s">
        <v>77</v>
      </c>
      <c r="B43" s="13" t="s">
        <v>84</v>
      </c>
      <c r="C43" s="13" t="s">
        <v>85</v>
      </c>
      <c r="D43" s="12"/>
      <c r="E43" s="12"/>
      <c r="F43" s="11">
        <f t="shared" si="0"/>
        <v>1</v>
      </c>
      <c r="G43" s="11">
        <v>0</v>
      </c>
      <c r="H43" s="11" t="str">
        <f t="shared" si="1"/>
        <v>Pendiente</v>
      </c>
      <c r="I43" s="3" t="str">
        <f t="shared" si="2"/>
        <v/>
      </c>
      <c r="J43" s="3" t="str">
        <f t="shared" si="3"/>
        <v/>
      </c>
      <c r="K43" s="3" t="str">
        <f t="shared" si="4"/>
        <v/>
      </c>
      <c r="L43" s="3" t="str">
        <f t="shared" si="5"/>
        <v/>
      </c>
      <c r="M43" s="3" t="str">
        <f t="shared" si="6"/>
        <v/>
      </c>
      <c r="N43" s="3" t="str">
        <f t="shared" si="7"/>
        <v/>
      </c>
      <c r="O43" s="3" t="str">
        <f t="shared" si="8"/>
        <v/>
      </c>
      <c r="P43" s="3" t="str">
        <f t="shared" si="9"/>
        <v/>
      </c>
      <c r="Q43" s="3" t="str">
        <f t="shared" si="10"/>
        <v/>
      </c>
      <c r="R43" s="3" t="str">
        <f t="shared" si="11"/>
        <v/>
      </c>
      <c r="S43" s="3" t="str">
        <f t="shared" si="12"/>
        <v/>
      </c>
      <c r="T43" s="3" t="str">
        <f t="shared" si="13"/>
        <v/>
      </c>
      <c r="U43" s="3" t="str">
        <f t="shared" si="14"/>
        <v/>
      </c>
      <c r="V43" s="3" t="str">
        <f t="shared" si="15"/>
        <v/>
      </c>
      <c r="W43" s="3" t="str">
        <f t="shared" si="16"/>
        <v/>
      </c>
      <c r="X43" s="3" t="str">
        <f t="shared" si="17"/>
        <v/>
      </c>
      <c r="Y43" s="3" t="str">
        <f t="shared" si="18"/>
        <v/>
      </c>
      <c r="Z43" s="3" t="str">
        <f t="shared" si="19"/>
        <v/>
      </c>
      <c r="AA43" s="3" t="str">
        <f t="shared" si="20"/>
        <v/>
      </c>
      <c r="AB43" s="3" t="str">
        <f t="shared" si="21"/>
        <v/>
      </c>
      <c r="AC43" s="3" t="str">
        <f t="shared" si="22"/>
        <v/>
      </c>
      <c r="AD43" s="3" t="str">
        <f t="shared" si="23"/>
        <v/>
      </c>
      <c r="AE43" s="3" t="str">
        <f t="shared" si="24"/>
        <v/>
      </c>
      <c r="AF43" s="3" t="str">
        <f t="shared" si="25"/>
        <v/>
      </c>
      <c r="AG43" s="3" t="str">
        <f t="shared" si="26"/>
        <v/>
      </c>
      <c r="AH43" s="3" t="str">
        <f t="shared" si="27"/>
        <v/>
      </c>
    </row>
    <row r="44" spans="1:34" ht="34" customHeight="1">
      <c r="A44" s="8" t="s">
        <v>77</v>
      </c>
      <c r="B44" s="10" t="s">
        <v>86</v>
      </c>
      <c r="C44" s="10" t="s">
        <v>87</v>
      </c>
      <c r="D44" s="9"/>
      <c r="E44" s="9"/>
      <c r="F44" s="8">
        <f t="shared" si="0"/>
        <v>1</v>
      </c>
      <c r="G44" s="8">
        <v>0</v>
      </c>
      <c r="H44" s="8" t="str">
        <f t="shared" si="1"/>
        <v>Pendiente</v>
      </c>
      <c r="I44" s="3" t="str">
        <f t="shared" si="2"/>
        <v/>
      </c>
      <c r="J44" s="3" t="str">
        <f t="shared" si="3"/>
        <v/>
      </c>
      <c r="K44" s="3" t="str">
        <f t="shared" si="4"/>
        <v/>
      </c>
      <c r="L44" s="3" t="str">
        <f t="shared" si="5"/>
        <v/>
      </c>
      <c r="M44" s="3" t="str">
        <f t="shared" si="6"/>
        <v/>
      </c>
      <c r="N44" s="3" t="str">
        <f t="shared" si="7"/>
        <v/>
      </c>
      <c r="O44" s="3" t="str">
        <f t="shared" si="8"/>
        <v/>
      </c>
      <c r="P44" s="3" t="str">
        <f t="shared" si="9"/>
        <v/>
      </c>
      <c r="Q44" s="3" t="str">
        <f t="shared" si="10"/>
        <v/>
      </c>
      <c r="R44" s="3" t="str">
        <f t="shared" si="11"/>
        <v/>
      </c>
      <c r="S44" s="3" t="str">
        <f t="shared" si="12"/>
        <v/>
      </c>
      <c r="T44" s="3" t="str">
        <f t="shared" si="13"/>
        <v/>
      </c>
      <c r="U44" s="3" t="str">
        <f t="shared" si="14"/>
        <v/>
      </c>
      <c r="V44" s="3" t="str">
        <f t="shared" si="15"/>
        <v/>
      </c>
      <c r="W44" s="3" t="str">
        <f t="shared" si="16"/>
        <v/>
      </c>
      <c r="X44" s="3" t="str">
        <f t="shared" si="17"/>
        <v/>
      </c>
      <c r="Y44" s="3" t="str">
        <f t="shared" si="18"/>
        <v/>
      </c>
      <c r="Z44" s="3" t="str">
        <f t="shared" si="19"/>
        <v/>
      </c>
      <c r="AA44" s="3" t="str">
        <f t="shared" si="20"/>
        <v/>
      </c>
      <c r="AB44" s="3" t="str">
        <f t="shared" si="21"/>
        <v/>
      </c>
      <c r="AC44" s="3" t="str">
        <f t="shared" si="22"/>
        <v/>
      </c>
      <c r="AD44" s="3" t="str">
        <f t="shared" si="23"/>
        <v/>
      </c>
      <c r="AE44" s="3" t="str">
        <f t="shared" si="24"/>
        <v/>
      </c>
      <c r="AF44" s="3" t="str">
        <f t="shared" si="25"/>
        <v/>
      </c>
      <c r="AG44" s="3" t="str">
        <f t="shared" si="26"/>
        <v/>
      </c>
      <c r="AH44" s="3" t="str">
        <f t="shared" si="27"/>
        <v/>
      </c>
    </row>
    <row r="45" spans="1:34" ht="34" customHeight="1">
      <c r="A45" s="11" t="s">
        <v>77</v>
      </c>
      <c r="B45" s="13" t="s">
        <v>88</v>
      </c>
      <c r="C45" s="13" t="s">
        <v>89</v>
      </c>
      <c r="D45" s="12"/>
      <c r="E45" s="12"/>
      <c r="F45" s="11">
        <f t="shared" si="0"/>
        <v>1</v>
      </c>
      <c r="G45" s="11">
        <v>0</v>
      </c>
      <c r="H45" s="11" t="str">
        <f t="shared" si="1"/>
        <v>Pendiente</v>
      </c>
      <c r="I45" s="3" t="str">
        <f t="shared" si="2"/>
        <v/>
      </c>
      <c r="J45" s="3" t="str">
        <f t="shared" si="3"/>
        <v/>
      </c>
      <c r="K45" s="3" t="str">
        <f t="shared" si="4"/>
        <v/>
      </c>
      <c r="L45" s="3" t="str">
        <f t="shared" si="5"/>
        <v/>
      </c>
      <c r="M45" s="3" t="str">
        <f t="shared" si="6"/>
        <v/>
      </c>
      <c r="N45" s="3" t="str">
        <f t="shared" si="7"/>
        <v/>
      </c>
      <c r="O45" s="3" t="str">
        <f t="shared" si="8"/>
        <v/>
      </c>
      <c r="P45" s="3" t="str">
        <f t="shared" si="9"/>
        <v/>
      </c>
      <c r="Q45" s="3" t="str">
        <f t="shared" si="10"/>
        <v/>
      </c>
      <c r="R45" s="3" t="str">
        <f t="shared" si="11"/>
        <v/>
      </c>
      <c r="S45" s="3" t="str">
        <f t="shared" si="12"/>
        <v/>
      </c>
      <c r="T45" s="3" t="str">
        <f t="shared" si="13"/>
        <v/>
      </c>
      <c r="U45" s="3" t="str">
        <f t="shared" si="14"/>
        <v/>
      </c>
      <c r="V45" s="3" t="str">
        <f t="shared" si="15"/>
        <v/>
      </c>
      <c r="W45" s="3" t="str">
        <f t="shared" si="16"/>
        <v/>
      </c>
      <c r="X45" s="3" t="str">
        <f t="shared" si="17"/>
        <v/>
      </c>
      <c r="Y45" s="3" t="str">
        <f t="shared" si="18"/>
        <v/>
      </c>
      <c r="Z45" s="3" t="str">
        <f t="shared" si="19"/>
        <v/>
      </c>
      <c r="AA45" s="3" t="str">
        <f t="shared" si="20"/>
        <v/>
      </c>
      <c r="AB45" s="3" t="str">
        <f t="shared" si="21"/>
        <v/>
      </c>
      <c r="AC45" s="3" t="str">
        <f t="shared" si="22"/>
        <v/>
      </c>
      <c r="AD45" s="3" t="str">
        <f t="shared" si="23"/>
        <v/>
      </c>
      <c r="AE45" s="3" t="str">
        <f t="shared" si="24"/>
        <v/>
      </c>
      <c r="AF45" s="3" t="str">
        <f t="shared" si="25"/>
        <v/>
      </c>
      <c r="AG45" s="3" t="str">
        <f t="shared" si="26"/>
        <v/>
      </c>
      <c r="AH45" s="3" t="str">
        <f t="shared" si="27"/>
        <v/>
      </c>
    </row>
    <row r="46" spans="1:34" ht="34" customHeight="1">
      <c r="A46" s="8" t="s">
        <v>77</v>
      </c>
      <c r="B46" s="10" t="s">
        <v>90</v>
      </c>
      <c r="C46" s="10" t="s">
        <v>91</v>
      </c>
      <c r="D46" s="9"/>
      <c r="E46" s="9"/>
      <c r="F46" s="8">
        <f t="shared" si="0"/>
        <v>1</v>
      </c>
      <c r="G46" s="8">
        <v>0</v>
      </c>
      <c r="H46" s="8" t="str">
        <f t="shared" si="1"/>
        <v>Pendiente</v>
      </c>
      <c r="I46" s="3" t="str">
        <f t="shared" si="2"/>
        <v/>
      </c>
      <c r="J46" s="3" t="str">
        <f t="shared" si="3"/>
        <v/>
      </c>
      <c r="K46" s="3" t="str">
        <f t="shared" si="4"/>
        <v/>
      </c>
      <c r="L46" s="3" t="str">
        <f t="shared" si="5"/>
        <v/>
      </c>
      <c r="M46" s="3" t="str">
        <f t="shared" si="6"/>
        <v/>
      </c>
      <c r="N46" s="3" t="str">
        <f t="shared" si="7"/>
        <v/>
      </c>
      <c r="O46" s="3" t="str">
        <f t="shared" si="8"/>
        <v/>
      </c>
      <c r="P46" s="3" t="str">
        <f t="shared" si="9"/>
        <v/>
      </c>
      <c r="Q46" s="3" t="str">
        <f t="shared" si="10"/>
        <v/>
      </c>
      <c r="R46" s="3" t="str">
        <f t="shared" si="11"/>
        <v/>
      </c>
      <c r="S46" s="3" t="str">
        <f t="shared" si="12"/>
        <v/>
      </c>
      <c r="T46" s="3" t="str">
        <f t="shared" si="13"/>
        <v/>
      </c>
      <c r="U46" s="3" t="str">
        <f t="shared" si="14"/>
        <v/>
      </c>
      <c r="V46" s="3" t="str">
        <f t="shared" si="15"/>
        <v/>
      </c>
      <c r="W46" s="3" t="str">
        <f t="shared" si="16"/>
        <v/>
      </c>
      <c r="X46" s="3" t="str">
        <f t="shared" si="17"/>
        <v/>
      </c>
      <c r="Y46" s="3" t="str">
        <f t="shared" si="18"/>
        <v/>
      </c>
      <c r="Z46" s="3" t="str">
        <f t="shared" si="19"/>
        <v/>
      </c>
      <c r="AA46" s="3" t="str">
        <f t="shared" si="20"/>
        <v/>
      </c>
      <c r="AB46" s="3" t="str">
        <f t="shared" si="21"/>
        <v/>
      </c>
      <c r="AC46" s="3" t="str">
        <f t="shared" si="22"/>
        <v/>
      </c>
      <c r="AD46" s="3" t="str">
        <f t="shared" si="23"/>
        <v/>
      </c>
      <c r="AE46" s="3" t="str">
        <f t="shared" si="24"/>
        <v/>
      </c>
      <c r="AF46" s="3" t="str">
        <f t="shared" si="25"/>
        <v/>
      </c>
      <c r="AG46" s="3" t="str">
        <f t="shared" si="26"/>
        <v/>
      </c>
      <c r="AH46" s="3" t="str">
        <f t="shared" si="27"/>
        <v/>
      </c>
    </row>
    <row r="47" spans="1:34" ht="34" customHeight="1">
      <c r="A47" s="11" t="s">
        <v>77</v>
      </c>
      <c r="B47" s="13" t="s">
        <v>92</v>
      </c>
      <c r="C47" s="13" t="s">
        <v>93</v>
      </c>
      <c r="D47" s="12"/>
      <c r="E47" s="12"/>
      <c r="F47" s="11">
        <f t="shared" si="0"/>
        <v>1</v>
      </c>
      <c r="G47" s="11">
        <v>0</v>
      </c>
      <c r="H47" s="11" t="str">
        <f t="shared" si="1"/>
        <v>Pendiente</v>
      </c>
      <c r="I47" s="3" t="str">
        <f t="shared" si="2"/>
        <v/>
      </c>
      <c r="J47" s="3" t="str">
        <f t="shared" si="3"/>
        <v/>
      </c>
      <c r="K47" s="3" t="str">
        <f t="shared" si="4"/>
        <v/>
      </c>
      <c r="L47" s="3" t="str">
        <f t="shared" si="5"/>
        <v/>
      </c>
      <c r="M47" s="3" t="str">
        <f t="shared" si="6"/>
        <v/>
      </c>
      <c r="N47" s="3" t="str">
        <f t="shared" si="7"/>
        <v/>
      </c>
      <c r="O47" s="3" t="str">
        <f t="shared" si="8"/>
        <v/>
      </c>
      <c r="P47" s="3" t="str">
        <f t="shared" si="9"/>
        <v/>
      </c>
      <c r="Q47" s="3" t="str">
        <f t="shared" si="10"/>
        <v/>
      </c>
      <c r="R47" s="3" t="str">
        <f t="shared" si="11"/>
        <v/>
      </c>
      <c r="S47" s="3" t="str">
        <f t="shared" si="12"/>
        <v/>
      </c>
      <c r="T47" s="3" t="str">
        <f t="shared" si="13"/>
        <v/>
      </c>
      <c r="U47" s="3" t="str">
        <f t="shared" si="14"/>
        <v/>
      </c>
      <c r="V47" s="3" t="str">
        <f t="shared" si="15"/>
        <v/>
      </c>
      <c r="W47" s="3" t="str">
        <f t="shared" si="16"/>
        <v/>
      </c>
      <c r="X47" s="3" t="str">
        <f t="shared" si="17"/>
        <v/>
      </c>
      <c r="Y47" s="3" t="str">
        <f t="shared" si="18"/>
        <v/>
      </c>
      <c r="Z47" s="3" t="str">
        <f t="shared" si="19"/>
        <v/>
      </c>
      <c r="AA47" s="3" t="str">
        <f t="shared" si="20"/>
        <v/>
      </c>
      <c r="AB47" s="3" t="str">
        <f t="shared" si="21"/>
        <v/>
      </c>
      <c r="AC47" s="3" t="str">
        <f t="shared" si="22"/>
        <v/>
      </c>
      <c r="AD47" s="3" t="str">
        <f t="shared" si="23"/>
        <v/>
      </c>
      <c r="AE47" s="3" t="str">
        <f t="shared" si="24"/>
        <v/>
      </c>
      <c r="AF47" s="3" t="str">
        <f t="shared" si="25"/>
        <v/>
      </c>
      <c r="AG47" s="3" t="str">
        <f t="shared" si="26"/>
        <v/>
      </c>
      <c r="AH47" s="3" t="str">
        <f t="shared" si="27"/>
        <v/>
      </c>
    </row>
    <row r="48" spans="1:34" ht="34" customHeight="1">
      <c r="A48" s="8" t="s">
        <v>77</v>
      </c>
      <c r="B48" s="10" t="s">
        <v>94</v>
      </c>
      <c r="C48" s="10" t="s">
        <v>95</v>
      </c>
      <c r="D48" s="9"/>
      <c r="E48" s="9"/>
      <c r="F48" s="8">
        <f t="shared" si="0"/>
        <v>1</v>
      </c>
      <c r="G48" s="8">
        <v>0</v>
      </c>
      <c r="H48" s="8" t="str">
        <f t="shared" si="1"/>
        <v>Pendiente</v>
      </c>
      <c r="I48" s="3" t="str">
        <f t="shared" si="2"/>
        <v/>
      </c>
      <c r="J48" s="3" t="str">
        <f t="shared" si="3"/>
        <v/>
      </c>
      <c r="K48" s="3" t="str">
        <f t="shared" si="4"/>
        <v/>
      </c>
      <c r="L48" s="3" t="str">
        <f t="shared" si="5"/>
        <v/>
      </c>
      <c r="M48" s="3" t="str">
        <f t="shared" si="6"/>
        <v/>
      </c>
      <c r="N48" s="3" t="str">
        <f t="shared" si="7"/>
        <v/>
      </c>
      <c r="O48" s="3" t="str">
        <f t="shared" si="8"/>
        <v/>
      </c>
      <c r="P48" s="3" t="str">
        <f t="shared" si="9"/>
        <v/>
      </c>
      <c r="Q48" s="3" t="str">
        <f t="shared" si="10"/>
        <v/>
      </c>
      <c r="R48" s="3" t="str">
        <f t="shared" si="11"/>
        <v/>
      </c>
      <c r="S48" s="3" t="str">
        <f t="shared" si="12"/>
        <v/>
      </c>
      <c r="T48" s="3" t="str">
        <f t="shared" si="13"/>
        <v/>
      </c>
      <c r="U48" s="3" t="str">
        <f t="shared" si="14"/>
        <v/>
      </c>
      <c r="V48" s="3" t="str">
        <f t="shared" si="15"/>
        <v/>
      </c>
      <c r="W48" s="3" t="str">
        <f t="shared" si="16"/>
        <v/>
      </c>
      <c r="X48" s="3" t="str">
        <f t="shared" si="17"/>
        <v/>
      </c>
      <c r="Y48" s="3" t="str">
        <f t="shared" si="18"/>
        <v/>
      </c>
      <c r="Z48" s="3" t="str">
        <f t="shared" si="19"/>
        <v/>
      </c>
      <c r="AA48" s="3" t="str">
        <f t="shared" si="20"/>
        <v/>
      </c>
      <c r="AB48" s="3" t="str">
        <f t="shared" si="21"/>
        <v/>
      </c>
      <c r="AC48" s="3" t="str">
        <f t="shared" si="22"/>
        <v/>
      </c>
      <c r="AD48" s="3" t="str">
        <f t="shared" si="23"/>
        <v/>
      </c>
      <c r="AE48" s="3" t="str">
        <f t="shared" si="24"/>
        <v/>
      </c>
      <c r="AF48" s="3" t="str">
        <f t="shared" si="25"/>
        <v/>
      </c>
      <c r="AG48" s="3" t="str">
        <f t="shared" si="26"/>
        <v/>
      </c>
      <c r="AH48" s="3" t="str">
        <f t="shared" si="27"/>
        <v/>
      </c>
    </row>
    <row r="49" spans="1:34" ht="34" customHeight="1">
      <c r="A49" s="11" t="s">
        <v>77</v>
      </c>
      <c r="B49" s="13" t="s">
        <v>96</v>
      </c>
      <c r="C49" s="13" t="s">
        <v>87</v>
      </c>
      <c r="D49" s="12"/>
      <c r="E49" s="12"/>
      <c r="F49" s="11">
        <f t="shared" si="0"/>
        <v>1</v>
      </c>
      <c r="G49" s="11">
        <v>0</v>
      </c>
      <c r="H49" s="11" t="str">
        <f t="shared" si="1"/>
        <v>Pendiente</v>
      </c>
      <c r="I49" s="3" t="str">
        <f t="shared" si="2"/>
        <v/>
      </c>
      <c r="J49" s="3" t="str">
        <f t="shared" si="3"/>
        <v/>
      </c>
      <c r="K49" s="3" t="str">
        <f t="shared" si="4"/>
        <v/>
      </c>
      <c r="L49" s="3" t="str">
        <f t="shared" si="5"/>
        <v/>
      </c>
      <c r="M49" s="3" t="str">
        <f t="shared" si="6"/>
        <v/>
      </c>
      <c r="N49" s="3" t="str">
        <f t="shared" si="7"/>
        <v/>
      </c>
      <c r="O49" s="3" t="str">
        <f t="shared" si="8"/>
        <v/>
      </c>
      <c r="P49" s="3" t="str">
        <f t="shared" si="9"/>
        <v/>
      </c>
      <c r="Q49" s="3" t="str">
        <f t="shared" si="10"/>
        <v/>
      </c>
      <c r="R49" s="3" t="str">
        <f t="shared" si="11"/>
        <v/>
      </c>
      <c r="S49" s="3" t="str">
        <f t="shared" si="12"/>
        <v/>
      </c>
      <c r="T49" s="3" t="str">
        <f t="shared" si="13"/>
        <v/>
      </c>
      <c r="U49" s="3" t="str">
        <f t="shared" si="14"/>
        <v/>
      </c>
      <c r="V49" s="3" t="str">
        <f t="shared" si="15"/>
        <v/>
      </c>
      <c r="W49" s="3" t="str">
        <f t="shared" si="16"/>
        <v/>
      </c>
      <c r="X49" s="3" t="str">
        <f t="shared" si="17"/>
        <v/>
      </c>
      <c r="Y49" s="3" t="str">
        <f t="shared" si="18"/>
        <v/>
      </c>
      <c r="Z49" s="3" t="str">
        <f t="shared" si="19"/>
        <v/>
      </c>
      <c r="AA49" s="3" t="str">
        <f t="shared" si="20"/>
        <v/>
      </c>
      <c r="AB49" s="3" t="str">
        <f t="shared" si="21"/>
        <v/>
      </c>
      <c r="AC49" s="3" t="str">
        <f t="shared" si="22"/>
        <v/>
      </c>
      <c r="AD49" s="3" t="str">
        <f t="shared" si="23"/>
        <v/>
      </c>
      <c r="AE49" s="3" t="str">
        <f t="shared" si="24"/>
        <v/>
      </c>
      <c r="AF49" s="3" t="str">
        <f t="shared" si="25"/>
        <v/>
      </c>
      <c r="AG49" s="3" t="str">
        <f t="shared" si="26"/>
        <v/>
      </c>
      <c r="AH49" s="3" t="str">
        <f t="shared" si="27"/>
        <v/>
      </c>
    </row>
    <row r="50" spans="1:34" ht="34" customHeight="1">
      <c r="A50" s="8" t="s">
        <v>77</v>
      </c>
      <c r="B50" s="10" t="s">
        <v>97</v>
      </c>
      <c r="C50" s="10" t="s">
        <v>89</v>
      </c>
      <c r="D50" s="9"/>
      <c r="E50" s="9"/>
      <c r="F50" s="8">
        <f t="shared" si="0"/>
        <v>1</v>
      </c>
      <c r="G50" s="8">
        <v>0</v>
      </c>
      <c r="H50" s="8" t="str">
        <f t="shared" si="1"/>
        <v>Pendiente</v>
      </c>
      <c r="I50" s="3" t="str">
        <f t="shared" si="2"/>
        <v/>
      </c>
      <c r="J50" s="3" t="str">
        <f t="shared" si="3"/>
        <v/>
      </c>
      <c r="K50" s="3" t="str">
        <f t="shared" si="4"/>
        <v/>
      </c>
      <c r="L50" s="3" t="str">
        <f t="shared" si="5"/>
        <v/>
      </c>
      <c r="M50" s="3" t="str">
        <f t="shared" si="6"/>
        <v/>
      </c>
      <c r="N50" s="3" t="str">
        <f t="shared" si="7"/>
        <v/>
      </c>
      <c r="O50" s="3" t="str">
        <f t="shared" si="8"/>
        <v/>
      </c>
      <c r="P50" s="3" t="str">
        <f t="shared" si="9"/>
        <v/>
      </c>
      <c r="Q50" s="3" t="str">
        <f t="shared" si="10"/>
        <v/>
      </c>
      <c r="R50" s="3" t="str">
        <f t="shared" si="11"/>
        <v/>
      </c>
      <c r="S50" s="3" t="str">
        <f t="shared" si="12"/>
        <v/>
      </c>
      <c r="T50" s="3" t="str">
        <f t="shared" si="13"/>
        <v/>
      </c>
      <c r="U50" s="3" t="str">
        <f t="shared" si="14"/>
        <v/>
      </c>
      <c r="V50" s="3" t="str">
        <f t="shared" si="15"/>
        <v/>
      </c>
      <c r="W50" s="3" t="str">
        <f t="shared" si="16"/>
        <v/>
      </c>
      <c r="X50" s="3" t="str">
        <f t="shared" si="17"/>
        <v/>
      </c>
      <c r="Y50" s="3" t="str">
        <f t="shared" si="18"/>
        <v/>
      </c>
      <c r="Z50" s="3" t="str">
        <f t="shared" si="19"/>
        <v/>
      </c>
      <c r="AA50" s="3" t="str">
        <f t="shared" si="20"/>
        <v/>
      </c>
      <c r="AB50" s="3" t="str">
        <f t="shared" si="21"/>
        <v/>
      </c>
      <c r="AC50" s="3" t="str">
        <f t="shared" si="22"/>
        <v/>
      </c>
      <c r="AD50" s="3" t="str">
        <f t="shared" si="23"/>
        <v/>
      </c>
      <c r="AE50" s="3" t="str">
        <f t="shared" si="24"/>
        <v/>
      </c>
      <c r="AF50" s="3" t="str">
        <f t="shared" si="25"/>
        <v/>
      </c>
      <c r="AG50" s="3" t="str">
        <f t="shared" si="26"/>
        <v/>
      </c>
      <c r="AH50" s="3" t="str">
        <f t="shared" si="27"/>
        <v/>
      </c>
    </row>
    <row r="51" spans="1:34" ht="34" customHeight="1">
      <c r="A51" s="11" t="s">
        <v>77</v>
      </c>
      <c r="B51" s="13" t="s">
        <v>98</v>
      </c>
      <c r="C51" s="13" t="s">
        <v>99</v>
      </c>
      <c r="D51" s="12"/>
      <c r="E51" s="12"/>
      <c r="F51" s="11">
        <f t="shared" si="0"/>
        <v>1</v>
      </c>
      <c r="G51" s="11">
        <v>0</v>
      </c>
      <c r="H51" s="11" t="str">
        <f t="shared" si="1"/>
        <v>Pendiente</v>
      </c>
      <c r="I51" s="3" t="str">
        <f t="shared" si="2"/>
        <v/>
      </c>
      <c r="J51" s="3" t="str">
        <f t="shared" si="3"/>
        <v/>
      </c>
      <c r="K51" s="3" t="str">
        <f t="shared" si="4"/>
        <v/>
      </c>
      <c r="L51" s="3" t="str">
        <f t="shared" si="5"/>
        <v/>
      </c>
      <c r="M51" s="3" t="str">
        <f t="shared" si="6"/>
        <v/>
      </c>
      <c r="N51" s="3" t="str">
        <f t="shared" si="7"/>
        <v/>
      </c>
      <c r="O51" s="3" t="str">
        <f t="shared" si="8"/>
        <v/>
      </c>
      <c r="P51" s="3" t="str">
        <f t="shared" si="9"/>
        <v/>
      </c>
      <c r="Q51" s="3" t="str">
        <f t="shared" si="10"/>
        <v/>
      </c>
      <c r="R51" s="3" t="str">
        <f t="shared" si="11"/>
        <v/>
      </c>
      <c r="S51" s="3" t="str">
        <f t="shared" si="12"/>
        <v/>
      </c>
      <c r="T51" s="3" t="str">
        <f t="shared" si="13"/>
        <v/>
      </c>
      <c r="U51" s="3" t="str">
        <f t="shared" si="14"/>
        <v/>
      </c>
      <c r="V51" s="3" t="str">
        <f t="shared" si="15"/>
        <v/>
      </c>
      <c r="W51" s="3" t="str">
        <f t="shared" si="16"/>
        <v/>
      </c>
      <c r="X51" s="3" t="str">
        <f t="shared" si="17"/>
        <v/>
      </c>
      <c r="Y51" s="3" t="str">
        <f t="shared" si="18"/>
        <v/>
      </c>
      <c r="Z51" s="3" t="str">
        <f t="shared" si="19"/>
        <v/>
      </c>
      <c r="AA51" s="3" t="str">
        <f t="shared" si="20"/>
        <v/>
      </c>
      <c r="AB51" s="3" t="str">
        <f t="shared" si="21"/>
        <v/>
      </c>
      <c r="AC51" s="3" t="str">
        <f t="shared" si="22"/>
        <v/>
      </c>
      <c r="AD51" s="3" t="str">
        <f t="shared" si="23"/>
        <v/>
      </c>
      <c r="AE51" s="3" t="str">
        <f t="shared" si="24"/>
        <v/>
      </c>
      <c r="AF51" s="3" t="str">
        <f t="shared" si="25"/>
        <v/>
      </c>
      <c r="AG51" s="3" t="str">
        <f t="shared" si="26"/>
        <v/>
      </c>
      <c r="AH51" s="3" t="str">
        <f t="shared" si="27"/>
        <v/>
      </c>
    </row>
    <row r="52" spans="1:34" ht="34" customHeight="1">
      <c r="A52" s="8" t="s">
        <v>77</v>
      </c>
      <c r="B52" s="10" t="s">
        <v>100</v>
      </c>
      <c r="C52" s="10" t="s">
        <v>101</v>
      </c>
      <c r="D52" s="9"/>
      <c r="E52" s="9"/>
      <c r="F52" s="8">
        <f t="shared" si="0"/>
        <v>1</v>
      </c>
      <c r="G52" s="8">
        <v>0</v>
      </c>
      <c r="H52" s="8" t="str">
        <f t="shared" si="1"/>
        <v>Pendiente</v>
      </c>
      <c r="I52" s="3" t="str">
        <f t="shared" si="2"/>
        <v/>
      </c>
      <c r="J52" s="3" t="str">
        <f t="shared" si="3"/>
        <v/>
      </c>
      <c r="K52" s="3" t="str">
        <f t="shared" si="4"/>
        <v/>
      </c>
      <c r="L52" s="3" t="str">
        <f t="shared" si="5"/>
        <v/>
      </c>
      <c r="M52" s="3" t="str">
        <f t="shared" si="6"/>
        <v/>
      </c>
      <c r="N52" s="3" t="str">
        <f t="shared" si="7"/>
        <v/>
      </c>
      <c r="O52" s="3" t="str">
        <f t="shared" si="8"/>
        <v/>
      </c>
      <c r="P52" s="3" t="str">
        <f t="shared" si="9"/>
        <v/>
      </c>
      <c r="Q52" s="3" t="str">
        <f t="shared" si="10"/>
        <v/>
      </c>
      <c r="R52" s="3" t="str">
        <f t="shared" si="11"/>
        <v/>
      </c>
      <c r="S52" s="3" t="str">
        <f t="shared" si="12"/>
        <v/>
      </c>
      <c r="T52" s="3" t="str">
        <f t="shared" si="13"/>
        <v/>
      </c>
      <c r="U52" s="3" t="str">
        <f t="shared" si="14"/>
        <v/>
      </c>
      <c r="V52" s="3" t="str">
        <f t="shared" si="15"/>
        <v/>
      </c>
      <c r="W52" s="3" t="str">
        <f t="shared" si="16"/>
        <v/>
      </c>
      <c r="X52" s="3" t="str">
        <f t="shared" si="17"/>
        <v/>
      </c>
      <c r="Y52" s="3" t="str">
        <f t="shared" si="18"/>
        <v/>
      </c>
      <c r="Z52" s="3" t="str">
        <f t="shared" si="19"/>
        <v/>
      </c>
      <c r="AA52" s="3" t="str">
        <f t="shared" si="20"/>
        <v/>
      </c>
      <c r="AB52" s="3" t="str">
        <f t="shared" si="21"/>
        <v/>
      </c>
      <c r="AC52" s="3" t="str">
        <f t="shared" si="22"/>
        <v/>
      </c>
      <c r="AD52" s="3" t="str">
        <f t="shared" si="23"/>
        <v/>
      </c>
      <c r="AE52" s="3" t="str">
        <f t="shared" si="24"/>
        <v/>
      </c>
      <c r="AF52" s="3" t="str">
        <f t="shared" si="25"/>
        <v/>
      </c>
      <c r="AG52" s="3" t="str">
        <f t="shared" si="26"/>
        <v/>
      </c>
      <c r="AH52" s="3" t="str">
        <f t="shared" si="27"/>
        <v/>
      </c>
    </row>
    <row r="53" spans="1:34" ht="34" customHeight="1">
      <c r="A53" s="11" t="s">
        <v>77</v>
      </c>
      <c r="B53" s="13" t="s">
        <v>102</v>
      </c>
      <c r="C53" s="13" t="s">
        <v>103</v>
      </c>
      <c r="D53" s="12"/>
      <c r="E53" s="12"/>
      <c r="F53" s="11">
        <f t="shared" si="0"/>
        <v>1</v>
      </c>
      <c r="G53" s="11">
        <v>0</v>
      </c>
      <c r="H53" s="11" t="str">
        <f t="shared" si="1"/>
        <v>Pendiente</v>
      </c>
      <c r="I53" s="3" t="str">
        <f t="shared" si="2"/>
        <v/>
      </c>
      <c r="J53" s="3" t="str">
        <f t="shared" si="3"/>
        <v/>
      </c>
      <c r="K53" s="3" t="str">
        <f t="shared" si="4"/>
        <v/>
      </c>
      <c r="L53" s="3" t="str">
        <f t="shared" si="5"/>
        <v/>
      </c>
      <c r="M53" s="3" t="str">
        <f t="shared" si="6"/>
        <v/>
      </c>
      <c r="N53" s="3" t="str">
        <f t="shared" si="7"/>
        <v/>
      </c>
      <c r="O53" s="3" t="str">
        <f t="shared" si="8"/>
        <v/>
      </c>
      <c r="P53" s="3" t="str">
        <f t="shared" si="9"/>
        <v/>
      </c>
      <c r="Q53" s="3" t="str">
        <f t="shared" si="10"/>
        <v/>
      </c>
      <c r="R53" s="3" t="str">
        <f t="shared" si="11"/>
        <v/>
      </c>
      <c r="S53" s="3" t="str">
        <f t="shared" si="12"/>
        <v/>
      </c>
      <c r="T53" s="3" t="str">
        <f t="shared" si="13"/>
        <v/>
      </c>
      <c r="U53" s="3" t="str">
        <f t="shared" si="14"/>
        <v/>
      </c>
      <c r="V53" s="3" t="str">
        <f t="shared" si="15"/>
        <v/>
      </c>
      <c r="W53" s="3" t="str">
        <f t="shared" si="16"/>
        <v/>
      </c>
      <c r="X53" s="3" t="str">
        <f t="shared" si="17"/>
        <v/>
      </c>
      <c r="Y53" s="3" t="str">
        <f t="shared" si="18"/>
        <v/>
      </c>
      <c r="Z53" s="3" t="str">
        <f t="shared" si="19"/>
        <v/>
      </c>
      <c r="AA53" s="3" t="str">
        <f t="shared" si="20"/>
        <v/>
      </c>
      <c r="AB53" s="3" t="str">
        <f t="shared" si="21"/>
        <v/>
      </c>
      <c r="AC53" s="3" t="str">
        <f t="shared" si="22"/>
        <v/>
      </c>
      <c r="AD53" s="3" t="str">
        <f t="shared" si="23"/>
        <v/>
      </c>
      <c r="AE53" s="3" t="str">
        <f t="shared" si="24"/>
        <v/>
      </c>
      <c r="AF53" s="3" t="str">
        <f t="shared" si="25"/>
        <v/>
      </c>
      <c r="AG53" s="3" t="str">
        <f t="shared" si="26"/>
        <v/>
      </c>
      <c r="AH53" s="3" t="str">
        <f t="shared" si="27"/>
        <v/>
      </c>
    </row>
    <row r="54" spans="1:34" ht="34" customHeight="1">
      <c r="A54" s="8" t="s">
        <v>77</v>
      </c>
      <c r="B54" s="10" t="s">
        <v>104</v>
      </c>
      <c r="C54" s="10" t="s">
        <v>105</v>
      </c>
      <c r="D54" s="9"/>
      <c r="E54" s="9"/>
      <c r="F54" s="8">
        <f t="shared" si="0"/>
        <v>1</v>
      </c>
      <c r="G54" s="8">
        <v>0</v>
      </c>
      <c r="H54" s="8" t="str">
        <f t="shared" si="1"/>
        <v>Pendiente</v>
      </c>
      <c r="I54" s="3" t="str">
        <f t="shared" si="2"/>
        <v/>
      </c>
      <c r="J54" s="3" t="str">
        <f t="shared" si="3"/>
        <v/>
      </c>
      <c r="K54" s="3" t="str">
        <f t="shared" si="4"/>
        <v/>
      </c>
      <c r="L54" s="3" t="str">
        <f t="shared" si="5"/>
        <v/>
      </c>
      <c r="M54" s="3" t="str">
        <f t="shared" si="6"/>
        <v/>
      </c>
      <c r="N54" s="3" t="str">
        <f t="shared" si="7"/>
        <v/>
      </c>
      <c r="O54" s="3" t="str">
        <f t="shared" si="8"/>
        <v/>
      </c>
      <c r="P54" s="3" t="str">
        <f t="shared" si="9"/>
        <v/>
      </c>
      <c r="Q54" s="3" t="str">
        <f t="shared" si="10"/>
        <v/>
      </c>
      <c r="R54" s="3" t="str">
        <f t="shared" si="11"/>
        <v/>
      </c>
      <c r="S54" s="3" t="str">
        <f t="shared" si="12"/>
        <v/>
      </c>
      <c r="T54" s="3" t="str">
        <f t="shared" si="13"/>
        <v/>
      </c>
      <c r="U54" s="3" t="str">
        <f t="shared" si="14"/>
        <v/>
      </c>
      <c r="V54" s="3" t="str">
        <f t="shared" si="15"/>
        <v/>
      </c>
      <c r="W54" s="3" t="str">
        <f t="shared" si="16"/>
        <v/>
      </c>
      <c r="X54" s="3" t="str">
        <f t="shared" si="17"/>
        <v/>
      </c>
      <c r="Y54" s="3" t="str">
        <f t="shared" si="18"/>
        <v/>
      </c>
      <c r="Z54" s="3" t="str">
        <f t="shared" si="19"/>
        <v/>
      </c>
      <c r="AA54" s="3" t="str">
        <f t="shared" si="20"/>
        <v/>
      </c>
      <c r="AB54" s="3" t="str">
        <f t="shared" si="21"/>
        <v/>
      </c>
      <c r="AC54" s="3" t="str">
        <f t="shared" si="22"/>
        <v/>
      </c>
      <c r="AD54" s="3" t="str">
        <f t="shared" si="23"/>
        <v/>
      </c>
      <c r="AE54" s="3" t="str">
        <f t="shared" si="24"/>
        <v/>
      </c>
      <c r="AF54" s="3" t="str">
        <f t="shared" si="25"/>
        <v/>
      </c>
      <c r="AG54" s="3" t="str">
        <f t="shared" si="26"/>
        <v/>
      </c>
      <c r="AH54" s="3" t="str">
        <f t="shared" si="27"/>
        <v/>
      </c>
    </row>
    <row r="55" spans="1:34" ht="34" customHeight="1">
      <c r="A55" s="11" t="s">
        <v>77</v>
      </c>
      <c r="B55" s="13" t="s">
        <v>106</v>
      </c>
      <c r="C55" s="13" t="s">
        <v>95</v>
      </c>
      <c r="D55" s="12"/>
      <c r="E55" s="12"/>
      <c r="F55" s="11">
        <f t="shared" si="0"/>
        <v>1</v>
      </c>
      <c r="G55" s="11">
        <v>0</v>
      </c>
      <c r="H55" s="11" t="str">
        <f t="shared" si="1"/>
        <v>Pendiente</v>
      </c>
      <c r="I55" s="3" t="str">
        <f t="shared" si="2"/>
        <v/>
      </c>
      <c r="J55" s="3" t="str">
        <f t="shared" si="3"/>
        <v/>
      </c>
      <c r="K55" s="3" t="str">
        <f t="shared" si="4"/>
        <v/>
      </c>
      <c r="L55" s="3" t="str">
        <f t="shared" si="5"/>
        <v/>
      </c>
      <c r="M55" s="3" t="str">
        <f t="shared" si="6"/>
        <v/>
      </c>
      <c r="N55" s="3" t="str">
        <f t="shared" si="7"/>
        <v/>
      </c>
      <c r="O55" s="3" t="str">
        <f t="shared" si="8"/>
        <v/>
      </c>
      <c r="P55" s="3" t="str">
        <f t="shared" si="9"/>
        <v/>
      </c>
      <c r="Q55" s="3" t="str">
        <f t="shared" si="10"/>
        <v/>
      </c>
      <c r="R55" s="3" t="str">
        <f t="shared" si="11"/>
        <v/>
      </c>
      <c r="S55" s="3" t="str">
        <f t="shared" si="12"/>
        <v/>
      </c>
      <c r="T55" s="3" t="str">
        <f t="shared" si="13"/>
        <v/>
      </c>
      <c r="U55" s="3" t="str">
        <f t="shared" si="14"/>
        <v/>
      </c>
      <c r="V55" s="3" t="str">
        <f t="shared" si="15"/>
        <v/>
      </c>
      <c r="W55" s="3" t="str">
        <f t="shared" si="16"/>
        <v/>
      </c>
      <c r="X55" s="3" t="str">
        <f t="shared" si="17"/>
        <v/>
      </c>
      <c r="Y55" s="3" t="str">
        <f t="shared" si="18"/>
        <v/>
      </c>
      <c r="Z55" s="3" t="str">
        <f t="shared" si="19"/>
        <v/>
      </c>
      <c r="AA55" s="3" t="str">
        <f t="shared" si="20"/>
        <v/>
      </c>
      <c r="AB55" s="3" t="str">
        <f t="shared" si="21"/>
        <v/>
      </c>
      <c r="AC55" s="3" t="str">
        <f t="shared" si="22"/>
        <v/>
      </c>
      <c r="AD55" s="3" t="str">
        <f t="shared" si="23"/>
        <v/>
      </c>
      <c r="AE55" s="3" t="str">
        <f t="shared" si="24"/>
        <v/>
      </c>
      <c r="AF55" s="3" t="str">
        <f t="shared" si="25"/>
        <v/>
      </c>
      <c r="AG55" s="3" t="str">
        <f t="shared" si="26"/>
        <v/>
      </c>
      <c r="AH55" s="3" t="str">
        <f t="shared" si="27"/>
        <v/>
      </c>
    </row>
    <row r="56" spans="1:34" ht="34" customHeight="1">
      <c r="A56" s="8" t="s">
        <v>77</v>
      </c>
      <c r="B56" s="10" t="s">
        <v>107</v>
      </c>
      <c r="C56" s="10" t="s">
        <v>87</v>
      </c>
      <c r="D56" s="9"/>
      <c r="E56" s="9"/>
      <c r="F56" s="8">
        <f t="shared" si="0"/>
        <v>1</v>
      </c>
      <c r="G56" s="8">
        <v>0</v>
      </c>
      <c r="H56" s="8" t="str">
        <f t="shared" si="1"/>
        <v>Pendiente</v>
      </c>
      <c r="I56" s="3" t="str">
        <f t="shared" si="2"/>
        <v/>
      </c>
      <c r="J56" s="3" t="str">
        <f t="shared" si="3"/>
        <v/>
      </c>
      <c r="K56" s="3" t="str">
        <f t="shared" si="4"/>
        <v/>
      </c>
      <c r="L56" s="3" t="str">
        <f t="shared" si="5"/>
        <v/>
      </c>
      <c r="M56" s="3" t="str">
        <f t="shared" si="6"/>
        <v/>
      </c>
      <c r="N56" s="3" t="str">
        <f t="shared" si="7"/>
        <v/>
      </c>
      <c r="O56" s="3" t="str">
        <f t="shared" si="8"/>
        <v/>
      </c>
      <c r="P56" s="3" t="str">
        <f t="shared" si="9"/>
        <v/>
      </c>
      <c r="Q56" s="3" t="str">
        <f t="shared" si="10"/>
        <v/>
      </c>
      <c r="R56" s="3" t="str">
        <f t="shared" si="11"/>
        <v/>
      </c>
      <c r="S56" s="3" t="str">
        <f t="shared" si="12"/>
        <v/>
      </c>
      <c r="T56" s="3" t="str">
        <f t="shared" si="13"/>
        <v/>
      </c>
      <c r="U56" s="3" t="str">
        <f t="shared" si="14"/>
        <v/>
      </c>
      <c r="V56" s="3" t="str">
        <f t="shared" si="15"/>
        <v/>
      </c>
      <c r="W56" s="3" t="str">
        <f t="shared" si="16"/>
        <v/>
      </c>
      <c r="X56" s="3" t="str">
        <f t="shared" si="17"/>
        <v/>
      </c>
      <c r="Y56" s="3" t="str">
        <f t="shared" si="18"/>
        <v/>
      </c>
      <c r="Z56" s="3" t="str">
        <f t="shared" si="19"/>
        <v/>
      </c>
      <c r="AA56" s="3" t="str">
        <f t="shared" si="20"/>
        <v/>
      </c>
      <c r="AB56" s="3" t="str">
        <f t="shared" si="21"/>
        <v/>
      </c>
      <c r="AC56" s="3" t="str">
        <f t="shared" si="22"/>
        <v/>
      </c>
      <c r="AD56" s="3" t="str">
        <f t="shared" si="23"/>
        <v/>
      </c>
      <c r="AE56" s="3" t="str">
        <f t="shared" si="24"/>
        <v/>
      </c>
      <c r="AF56" s="3" t="str">
        <f t="shared" si="25"/>
        <v/>
      </c>
      <c r="AG56" s="3" t="str">
        <f t="shared" si="26"/>
        <v/>
      </c>
      <c r="AH56" s="3" t="str">
        <f t="shared" si="27"/>
        <v/>
      </c>
    </row>
    <row r="57" spans="1:34" ht="34" customHeight="1">
      <c r="A57" s="11" t="s">
        <v>77</v>
      </c>
      <c r="B57" s="13" t="s">
        <v>108</v>
      </c>
      <c r="C57" s="13" t="s">
        <v>79</v>
      </c>
      <c r="D57" s="12"/>
      <c r="E57" s="12"/>
      <c r="F57" s="11">
        <f t="shared" si="0"/>
        <v>1</v>
      </c>
      <c r="G57" s="11">
        <v>0</v>
      </c>
      <c r="H57" s="11" t="str">
        <f t="shared" si="1"/>
        <v>Pendiente</v>
      </c>
      <c r="I57" s="3" t="str">
        <f t="shared" si="2"/>
        <v/>
      </c>
      <c r="J57" s="3" t="str">
        <f t="shared" si="3"/>
        <v/>
      </c>
      <c r="K57" s="3" t="str">
        <f t="shared" si="4"/>
        <v/>
      </c>
      <c r="L57" s="3" t="str">
        <f t="shared" si="5"/>
        <v/>
      </c>
      <c r="M57" s="3" t="str">
        <f t="shared" si="6"/>
        <v/>
      </c>
      <c r="N57" s="3" t="str">
        <f t="shared" si="7"/>
        <v/>
      </c>
      <c r="O57" s="3" t="str">
        <f t="shared" si="8"/>
        <v/>
      </c>
      <c r="P57" s="3" t="str">
        <f t="shared" si="9"/>
        <v/>
      </c>
      <c r="Q57" s="3" t="str">
        <f t="shared" si="10"/>
        <v/>
      </c>
      <c r="R57" s="3" t="str">
        <f t="shared" si="11"/>
        <v/>
      </c>
      <c r="S57" s="3" t="str">
        <f t="shared" si="12"/>
        <v/>
      </c>
      <c r="T57" s="3" t="str">
        <f t="shared" si="13"/>
        <v/>
      </c>
      <c r="U57" s="3" t="str">
        <f t="shared" si="14"/>
        <v/>
      </c>
      <c r="V57" s="3" t="str">
        <f t="shared" si="15"/>
        <v/>
      </c>
      <c r="W57" s="3" t="str">
        <f t="shared" si="16"/>
        <v/>
      </c>
      <c r="X57" s="3" t="str">
        <f t="shared" si="17"/>
        <v/>
      </c>
      <c r="Y57" s="3" t="str">
        <f t="shared" si="18"/>
        <v/>
      </c>
      <c r="Z57" s="3" t="str">
        <f t="shared" si="19"/>
        <v/>
      </c>
      <c r="AA57" s="3" t="str">
        <f t="shared" si="20"/>
        <v/>
      </c>
      <c r="AB57" s="3" t="str">
        <f t="shared" si="21"/>
        <v/>
      </c>
      <c r="AC57" s="3" t="str">
        <f t="shared" si="22"/>
        <v/>
      </c>
      <c r="AD57" s="3" t="str">
        <f t="shared" si="23"/>
        <v/>
      </c>
      <c r="AE57" s="3" t="str">
        <f t="shared" si="24"/>
        <v/>
      </c>
      <c r="AF57" s="3" t="str">
        <f t="shared" si="25"/>
        <v/>
      </c>
      <c r="AG57" s="3" t="str">
        <f t="shared" si="26"/>
        <v/>
      </c>
      <c r="AH57" s="3" t="str">
        <f t="shared" si="27"/>
        <v/>
      </c>
    </row>
    <row r="58" spans="1:34" ht="34" customHeight="1">
      <c r="A58" s="8" t="s">
        <v>77</v>
      </c>
      <c r="B58" s="10" t="s">
        <v>109</v>
      </c>
      <c r="C58" s="10" t="s">
        <v>79</v>
      </c>
      <c r="D58" s="9"/>
      <c r="E58" s="9"/>
      <c r="F58" s="8">
        <f t="shared" si="0"/>
        <v>1</v>
      </c>
      <c r="G58" s="8">
        <v>0</v>
      </c>
      <c r="H58" s="8" t="str">
        <f t="shared" si="1"/>
        <v>Pendiente</v>
      </c>
      <c r="I58" s="3" t="str">
        <f t="shared" si="2"/>
        <v/>
      </c>
      <c r="J58" s="3" t="str">
        <f t="shared" si="3"/>
        <v/>
      </c>
      <c r="K58" s="3" t="str">
        <f t="shared" si="4"/>
        <v/>
      </c>
      <c r="L58" s="3" t="str">
        <f t="shared" si="5"/>
        <v/>
      </c>
      <c r="M58" s="3" t="str">
        <f t="shared" si="6"/>
        <v/>
      </c>
      <c r="N58" s="3" t="str">
        <f t="shared" si="7"/>
        <v/>
      </c>
      <c r="O58" s="3" t="str">
        <f t="shared" si="8"/>
        <v/>
      </c>
      <c r="P58" s="3" t="str">
        <f t="shared" si="9"/>
        <v/>
      </c>
      <c r="Q58" s="3" t="str">
        <f t="shared" si="10"/>
        <v/>
      </c>
      <c r="R58" s="3" t="str">
        <f t="shared" si="11"/>
        <v/>
      </c>
      <c r="S58" s="3" t="str">
        <f t="shared" si="12"/>
        <v/>
      </c>
      <c r="T58" s="3" t="str">
        <f t="shared" si="13"/>
        <v/>
      </c>
      <c r="U58" s="3" t="str">
        <f t="shared" si="14"/>
        <v/>
      </c>
      <c r="V58" s="3" t="str">
        <f t="shared" si="15"/>
        <v/>
      </c>
      <c r="W58" s="3" t="str">
        <f t="shared" si="16"/>
        <v/>
      </c>
      <c r="X58" s="3" t="str">
        <f t="shared" si="17"/>
        <v/>
      </c>
      <c r="Y58" s="3" t="str">
        <f t="shared" si="18"/>
        <v/>
      </c>
      <c r="Z58" s="3" t="str">
        <f t="shared" si="19"/>
        <v/>
      </c>
      <c r="AA58" s="3" t="str">
        <f t="shared" si="20"/>
        <v/>
      </c>
      <c r="AB58" s="3" t="str">
        <f t="shared" si="21"/>
        <v/>
      </c>
      <c r="AC58" s="3" t="str">
        <f t="shared" si="22"/>
        <v/>
      </c>
      <c r="AD58" s="3" t="str">
        <f t="shared" si="23"/>
        <v/>
      </c>
      <c r="AE58" s="3" t="str">
        <f t="shared" si="24"/>
        <v/>
      </c>
      <c r="AF58" s="3" t="str">
        <f t="shared" si="25"/>
        <v/>
      </c>
      <c r="AG58" s="3" t="str">
        <f t="shared" si="26"/>
        <v/>
      </c>
      <c r="AH58" s="3" t="str">
        <f t="shared" si="27"/>
        <v/>
      </c>
    </row>
    <row r="59" spans="1:34" ht="34" customHeight="1">
      <c r="A59" s="11" t="s">
        <v>77</v>
      </c>
      <c r="B59" s="13" t="s">
        <v>110</v>
      </c>
      <c r="C59" s="13" t="s">
        <v>111</v>
      </c>
      <c r="D59" s="12"/>
      <c r="E59" s="12"/>
      <c r="F59" s="11">
        <f t="shared" si="0"/>
        <v>1</v>
      </c>
      <c r="G59" s="11">
        <v>0</v>
      </c>
      <c r="H59" s="11" t="str">
        <f t="shared" si="1"/>
        <v>Pendiente</v>
      </c>
      <c r="I59" s="3" t="str">
        <f t="shared" si="2"/>
        <v/>
      </c>
      <c r="J59" s="3" t="str">
        <f t="shared" si="3"/>
        <v/>
      </c>
      <c r="K59" s="3" t="str">
        <f t="shared" si="4"/>
        <v/>
      </c>
      <c r="L59" s="3" t="str">
        <f t="shared" si="5"/>
        <v/>
      </c>
      <c r="M59" s="3" t="str">
        <f t="shared" si="6"/>
        <v/>
      </c>
      <c r="N59" s="3" t="str">
        <f t="shared" si="7"/>
        <v/>
      </c>
      <c r="O59" s="3" t="str">
        <f t="shared" si="8"/>
        <v/>
      </c>
      <c r="P59" s="3" t="str">
        <f t="shared" si="9"/>
        <v/>
      </c>
      <c r="Q59" s="3" t="str">
        <f t="shared" si="10"/>
        <v/>
      </c>
      <c r="R59" s="3" t="str">
        <f t="shared" si="11"/>
        <v/>
      </c>
      <c r="S59" s="3" t="str">
        <f t="shared" si="12"/>
        <v/>
      </c>
      <c r="T59" s="3" t="str">
        <f t="shared" si="13"/>
        <v/>
      </c>
      <c r="U59" s="3" t="str">
        <f t="shared" si="14"/>
        <v/>
      </c>
      <c r="V59" s="3" t="str">
        <f t="shared" si="15"/>
        <v/>
      </c>
      <c r="W59" s="3" t="str">
        <f t="shared" si="16"/>
        <v/>
      </c>
      <c r="X59" s="3" t="str">
        <f t="shared" si="17"/>
        <v/>
      </c>
      <c r="Y59" s="3" t="str">
        <f t="shared" si="18"/>
        <v/>
      </c>
      <c r="Z59" s="3" t="str">
        <f t="shared" si="19"/>
        <v/>
      </c>
      <c r="AA59" s="3" t="str">
        <f t="shared" si="20"/>
        <v/>
      </c>
      <c r="AB59" s="3" t="str">
        <f t="shared" si="21"/>
        <v/>
      </c>
      <c r="AC59" s="3" t="str">
        <f t="shared" si="22"/>
        <v/>
      </c>
      <c r="AD59" s="3" t="str">
        <f t="shared" si="23"/>
        <v/>
      </c>
      <c r="AE59" s="3" t="str">
        <f t="shared" si="24"/>
        <v/>
      </c>
      <c r="AF59" s="3" t="str">
        <f t="shared" si="25"/>
        <v/>
      </c>
      <c r="AG59" s="3" t="str">
        <f t="shared" si="26"/>
        <v/>
      </c>
      <c r="AH59" s="3" t="str">
        <f t="shared" si="27"/>
        <v/>
      </c>
    </row>
    <row r="60" spans="1:34" ht="34" customHeight="1">
      <c r="A60" s="8" t="s">
        <v>77</v>
      </c>
      <c r="B60" s="10" t="s">
        <v>112</v>
      </c>
      <c r="C60" s="10" t="s">
        <v>111</v>
      </c>
      <c r="D60" s="9"/>
      <c r="E60" s="9"/>
      <c r="F60" s="8">
        <f t="shared" si="0"/>
        <v>1</v>
      </c>
      <c r="G60" s="8">
        <v>0</v>
      </c>
      <c r="H60" s="8" t="str">
        <f t="shared" si="1"/>
        <v>Pendiente</v>
      </c>
      <c r="I60" s="3" t="str">
        <f t="shared" si="2"/>
        <v/>
      </c>
      <c r="J60" s="3" t="str">
        <f t="shared" si="3"/>
        <v/>
      </c>
      <c r="K60" s="3" t="str">
        <f t="shared" si="4"/>
        <v/>
      </c>
      <c r="L60" s="3" t="str">
        <f t="shared" si="5"/>
        <v/>
      </c>
      <c r="M60" s="3" t="str">
        <f t="shared" si="6"/>
        <v/>
      </c>
      <c r="N60" s="3" t="str">
        <f t="shared" si="7"/>
        <v/>
      </c>
      <c r="O60" s="3" t="str">
        <f t="shared" si="8"/>
        <v/>
      </c>
      <c r="P60" s="3" t="str">
        <f t="shared" si="9"/>
        <v/>
      </c>
      <c r="Q60" s="3" t="str">
        <f t="shared" si="10"/>
        <v/>
      </c>
      <c r="R60" s="3" t="str">
        <f t="shared" si="11"/>
        <v/>
      </c>
      <c r="S60" s="3" t="str">
        <f t="shared" si="12"/>
        <v/>
      </c>
      <c r="T60" s="3" t="str">
        <f t="shared" si="13"/>
        <v/>
      </c>
      <c r="U60" s="3" t="str">
        <f t="shared" si="14"/>
        <v/>
      </c>
      <c r="V60" s="3" t="str">
        <f t="shared" si="15"/>
        <v/>
      </c>
      <c r="W60" s="3" t="str">
        <f t="shared" si="16"/>
        <v/>
      </c>
      <c r="X60" s="3" t="str">
        <f t="shared" si="17"/>
        <v/>
      </c>
      <c r="Y60" s="3" t="str">
        <f t="shared" si="18"/>
        <v/>
      </c>
      <c r="Z60" s="3" t="str">
        <f t="shared" si="19"/>
        <v/>
      </c>
      <c r="AA60" s="3" t="str">
        <f t="shared" si="20"/>
        <v/>
      </c>
      <c r="AB60" s="3" t="str">
        <f t="shared" si="21"/>
        <v/>
      </c>
      <c r="AC60" s="3" t="str">
        <f t="shared" si="22"/>
        <v/>
      </c>
      <c r="AD60" s="3" t="str">
        <f t="shared" si="23"/>
        <v/>
      </c>
      <c r="AE60" s="3" t="str">
        <f t="shared" si="24"/>
        <v/>
      </c>
      <c r="AF60" s="3" t="str">
        <f t="shared" si="25"/>
        <v/>
      </c>
      <c r="AG60" s="3" t="str">
        <f t="shared" si="26"/>
        <v/>
      </c>
      <c r="AH60" s="3" t="str">
        <f t="shared" si="27"/>
        <v/>
      </c>
    </row>
    <row r="61" spans="1:34" ht="34" customHeight="1">
      <c r="A61" s="11" t="s">
        <v>77</v>
      </c>
      <c r="B61" s="13" t="s">
        <v>113</v>
      </c>
      <c r="C61" s="13" t="s">
        <v>111</v>
      </c>
      <c r="D61" s="12"/>
      <c r="E61" s="12"/>
      <c r="F61" s="11">
        <f t="shared" si="0"/>
        <v>1</v>
      </c>
      <c r="G61" s="11">
        <v>0</v>
      </c>
      <c r="H61" s="11" t="str">
        <f t="shared" si="1"/>
        <v>Pendiente</v>
      </c>
      <c r="I61" s="3" t="str">
        <f t="shared" si="2"/>
        <v/>
      </c>
      <c r="J61" s="3" t="str">
        <f t="shared" si="3"/>
        <v/>
      </c>
      <c r="K61" s="3" t="str">
        <f t="shared" si="4"/>
        <v/>
      </c>
      <c r="L61" s="3" t="str">
        <f t="shared" si="5"/>
        <v/>
      </c>
      <c r="M61" s="3" t="str">
        <f t="shared" si="6"/>
        <v/>
      </c>
      <c r="N61" s="3" t="str">
        <f t="shared" si="7"/>
        <v/>
      </c>
      <c r="O61" s="3" t="str">
        <f t="shared" si="8"/>
        <v/>
      </c>
      <c r="P61" s="3" t="str">
        <f t="shared" si="9"/>
        <v/>
      </c>
      <c r="Q61" s="3" t="str">
        <f t="shared" si="10"/>
        <v/>
      </c>
      <c r="R61" s="3" t="str">
        <f t="shared" si="11"/>
        <v/>
      </c>
      <c r="S61" s="3" t="str">
        <f t="shared" si="12"/>
        <v/>
      </c>
      <c r="T61" s="3" t="str">
        <f t="shared" si="13"/>
        <v/>
      </c>
      <c r="U61" s="3" t="str">
        <f t="shared" si="14"/>
        <v/>
      </c>
      <c r="V61" s="3" t="str">
        <f t="shared" si="15"/>
        <v/>
      </c>
      <c r="W61" s="3" t="str">
        <f t="shared" si="16"/>
        <v/>
      </c>
      <c r="X61" s="3" t="str">
        <f t="shared" si="17"/>
        <v/>
      </c>
      <c r="Y61" s="3" t="str">
        <f t="shared" si="18"/>
        <v/>
      </c>
      <c r="Z61" s="3" t="str">
        <f t="shared" si="19"/>
        <v/>
      </c>
      <c r="AA61" s="3" t="str">
        <f t="shared" si="20"/>
        <v/>
      </c>
      <c r="AB61" s="3" t="str">
        <f t="shared" si="21"/>
        <v/>
      </c>
      <c r="AC61" s="3" t="str">
        <f t="shared" si="22"/>
        <v/>
      </c>
      <c r="AD61" s="3" t="str">
        <f t="shared" si="23"/>
        <v/>
      </c>
      <c r="AE61" s="3" t="str">
        <f t="shared" si="24"/>
        <v/>
      </c>
      <c r="AF61" s="3" t="str">
        <f t="shared" si="25"/>
        <v/>
      </c>
      <c r="AG61" s="3" t="str">
        <f t="shared" si="26"/>
        <v/>
      </c>
      <c r="AH61" s="3" t="str">
        <f t="shared" si="27"/>
        <v/>
      </c>
    </row>
    <row r="62" spans="1:34" ht="34" customHeight="1">
      <c r="A62" s="8" t="s">
        <v>77</v>
      </c>
      <c r="B62" s="10" t="s">
        <v>114</v>
      </c>
      <c r="C62" s="10" t="s">
        <v>79</v>
      </c>
      <c r="D62" s="9"/>
      <c r="E62" s="9"/>
      <c r="F62" s="8">
        <f t="shared" si="0"/>
        <v>1</v>
      </c>
      <c r="G62" s="8">
        <v>0</v>
      </c>
      <c r="H62" s="8" t="str">
        <f t="shared" si="1"/>
        <v>Pendiente</v>
      </c>
      <c r="I62" s="3" t="str">
        <f t="shared" si="2"/>
        <v/>
      </c>
      <c r="J62" s="3" t="str">
        <f t="shared" si="3"/>
        <v/>
      </c>
      <c r="K62" s="3" t="str">
        <f t="shared" si="4"/>
        <v/>
      </c>
      <c r="L62" s="3" t="str">
        <f t="shared" si="5"/>
        <v/>
      </c>
      <c r="M62" s="3" t="str">
        <f t="shared" si="6"/>
        <v/>
      </c>
      <c r="N62" s="3" t="str">
        <f t="shared" si="7"/>
        <v/>
      </c>
      <c r="O62" s="3" t="str">
        <f t="shared" si="8"/>
        <v/>
      </c>
      <c r="P62" s="3" t="str">
        <f t="shared" si="9"/>
        <v/>
      </c>
      <c r="Q62" s="3" t="str">
        <f t="shared" si="10"/>
        <v/>
      </c>
      <c r="R62" s="3" t="str">
        <f t="shared" si="11"/>
        <v/>
      </c>
      <c r="S62" s="3" t="str">
        <f t="shared" si="12"/>
        <v/>
      </c>
      <c r="T62" s="3" t="str">
        <f t="shared" si="13"/>
        <v/>
      </c>
      <c r="U62" s="3" t="str">
        <f t="shared" si="14"/>
        <v/>
      </c>
      <c r="V62" s="3" t="str">
        <f t="shared" si="15"/>
        <v/>
      </c>
      <c r="W62" s="3" t="str">
        <f t="shared" si="16"/>
        <v/>
      </c>
      <c r="X62" s="3" t="str">
        <f t="shared" si="17"/>
        <v/>
      </c>
      <c r="Y62" s="3" t="str">
        <f t="shared" si="18"/>
        <v/>
      </c>
      <c r="Z62" s="3" t="str">
        <f t="shared" si="19"/>
        <v/>
      </c>
      <c r="AA62" s="3" t="str">
        <f t="shared" si="20"/>
        <v/>
      </c>
      <c r="AB62" s="3" t="str">
        <f t="shared" si="21"/>
        <v/>
      </c>
      <c r="AC62" s="3" t="str">
        <f t="shared" si="22"/>
        <v/>
      </c>
      <c r="AD62" s="3" t="str">
        <f t="shared" si="23"/>
        <v/>
      </c>
      <c r="AE62" s="3" t="str">
        <f t="shared" si="24"/>
        <v/>
      </c>
      <c r="AF62" s="3" t="str">
        <f t="shared" si="25"/>
        <v/>
      </c>
      <c r="AG62" s="3" t="str">
        <f t="shared" si="26"/>
        <v/>
      </c>
      <c r="AH62" s="3" t="str">
        <f t="shared" si="27"/>
        <v/>
      </c>
    </row>
    <row r="63" spans="1:34" ht="34" customHeight="1">
      <c r="A63" s="11" t="s">
        <v>77</v>
      </c>
      <c r="B63" s="13" t="s">
        <v>115</v>
      </c>
      <c r="C63" s="13" t="s">
        <v>81</v>
      </c>
      <c r="D63" s="12"/>
      <c r="E63" s="12"/>
      <c r="F63" s="11">
        <f t="shared" si="0"/>
        <v>1</v>
      </c>
      <c r="G63" s="11">
        <v>0</v>
      </c>
      <c r="H63" s="11" t="str">
        <f t="shared" si="1"/>
        <v>Pendiente</v>
      </c>
      <c r="I63" s="3" t="str">
        <f t="shared" si="2"/>
        <v/>
      </c>
      <c r="J63" s="3" t="str">
        <f t="shared" si="3"/>
        <v/>
      </c>
      <c r="K63" s="3" t="str">
        <f t="shared" si="4"/>
        <v/>
      </c>
      <c r="L63" s="3" t="str">
        <f t="shared" si="5"/>
        <v/>
      </c>
      <c r="M63" s="3" t="str">
        <f t="shared" si="6"/>
        <v/>
      </c>
      <c r="N63" s="3" t="str">
        <f t="shared" si="7"/>
        <v/>
      </c>
      <c r="O63" s="3" t="str">
        <f t="shared" si="8"/>
        <v/>
      </c>
      <c r="P63" s="3" t="str">
        <f t="shared" si="9"/>
        <v/>
      </c>
      <c r="Q63" s="3" t="str">
        <f t="shared" si="10"/>
        <v/>
      </c>
      <c r="R63" s="3" t="str">
        <f t="shared" si="11"/>
        <v/>
      </c>
      <c r="S63" s="3" t="str">
        <f t="shared" si="12"/>
        <v/>
      </c>
      <c r="T63" s="3" t="str">
        <f t="shared" si="13"/>
        <v/>
      </c>
      <c r="U63" s="3" t="str">
        <f t="shared" si="14"/>
        <v/>
      </c>
      <c r="V63" s="3" t="str">
        <f t="shared" si="15"/>
        <v/>
      </c>
      <c r="W63" s="3" t="str">
        <f t="shared" si="16"/>
        <v/>
      </c>
      <c r="X63" s="3" t="str">
        <f t="shared" si="17"/>
        <v/>
      </c>
      <c r="Y63" s="3" t="str">
        <f t="shared" si="18"/>
        <v/>
      </c>
      <c r="Z63" s="3" t="str">
        <f t="shared" si="19"/>
        <v/>
      </c>
      <c r="AA63" s="3" t="str">
        <f t="shared" si="20"/>
        <v/>
      </c>
      <c r="AB63" s="3" t="str">
        <f t="shared" si="21"/>
        <v/>
      </c>
      <c r="AC63" s="3" t="str">
        <f t="shared" si="22"/>
        <v/>
      </c>
      <c r="AD63" s="3" t="str">
        <f t="shared" si="23"/>
        <v/>
      </c>
      <c r="AE63" s="3" t="str">
        <f t="shared" si="24"/>
        <v/>
      </c>
      <c r="AF63" s="3" t="str">
        <f t="shared" si="25"/>
        <v/>
      </c>
      <c r="AG63" s="3" t="str">
        <f t="shared" si="26"/>
        <v/>
      </c>
      <c r="AH63" s="3" t="str">
        <f t="shared" si="27"/>
        <v/>
      </c>
    </row>
    <row r="64" spans="1:34" ht="23" customHeight="1">
      <c r="D64" s="2"/>
      <c r="E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4:34" ht="23" customHeight="1">
      <c r="D65" s="2"/>
      <c r="E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4:34" ht="23" customHeight="1">
      <c r="D66" s="2"/>
      <c r="E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4:34" ht="23" customHeight="1">
      <c r="D67" s="2"/>
      <c r="E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4:34" ht="23" customHeight="1">
      <c r="D68" s="2"/>
      <c r="E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4:34" ht="23" customHeight="1">
      <c r="D69" s="2"/>
      <c r="E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4:34" ht="23" customHeight="1">
      <c r="D70" s="2"/>
      <c r="E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4:34" ht="23" customHeight="1">
      <c r="D71" s="2"/>
      <c r="E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4:34" ht="23" customHeight="1">
      <c r="D72" s="2"/>
      <c r="E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4:34" ht="23" customHeight="1">
      <c r="D73" s="2"/>
      <c r="E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4:34" ht="23" customHeight="1">
      <c r="D74" s="2"/>
      <c r="E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4:34" ht="23" customHeight="1">
      <c r="D75" s="2"/>
      <c r="E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4:34" ht="23" customHeight="1">
      <c r="D76" s="2"/>
      <c r="E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4:34" ht="23" customHeight="1">
      <c r="D77" s="2"/>
      <c r="E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4:34" ht="23" customHeight="1">
      <c r="D78" s="2"/>
      <c r="E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4:34" ht="23" customHeight="1">
      <c r="D79" s="2"/>
      <c r="E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4:34" ht="23" customHeight="1">
      <c r="D80" s="2"/>
      <c r="E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ht="23" customHeight="1">
      <c r="D81" s="2"/>
      <c r="E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ht="23" customHeight="1">
      <c r="D82" s="2"/>
      <c r="E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ht="23" customHeight="1">
      <c r="D83" s="2"/>
      <c r="E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ht="23" customHeight="1">
      <c r="D84" s="2"/>
      <c r="E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ht="23" customHeight="1">
      <c r="A85" s="6"/>
      <c r="B85" s="6"/>
      <c r="C85" s="6"/>
      <c r="D85" s="7"/>
      <c r="E85" s="7"/>
      <c r="F85" s="6"/>
      <c r="G85" s="6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ht="23" customHeight="1">
      <c r="D86" s="2"/>
      <c r="E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</sheetData>
  <mergeCells count="2">
    <mergeCell ref="A1:AI2"/>
    <mergeCell ref="A3:AI3"/>
  </mergeCells>
  <conditionalFormatting sqref="G7:G86">
    <cfRule type="dataBar" priority="1">
      <dataBar>
        <cfvo type="min"/>
        <cfvo type="max"/>
        <color rgb="FF35A968"/>
      </dataBar>
    </cfRule>
    <cfRule type="dataBar" priority="3">
      <dataBar>
        <cfvo type="min"/>
        <cfvo type="max"/>
        <color rgb="FF35A968"/>
      </dataBar>
      <extLst>
        <ext xmlns:x14="http://schemas.microsoft.com/office/spreadsheetml/2009/9/main" uri="{B025F937-C7B1-47D3-B67F-A62EFF666E3E}">
          <x14:id>{CAC00FC9-A66B-4D5C-8491-3D3716AE60BE}</x14:id>
        </ext>
      </extLst>
    </cfRule>
  </conditionalFormatting>
  <conditionalFormatting sqref="I7:AH86">
    <cfRule type="expression" dxfId="0" priority="2">
      <formula>AND(I$6&lt;&gt;"",DATE(2026,10,COLUMN()-8)&gt;=$D7,DATE(2026,10,COLUMN()-8)&lt;=$E7)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C00FC9-A66B-4D5C-8491-3D3716AE60BE}">
            <x14:dataBar gradient="0">
              <x14:cfvo type="min"/>
              <x14:cfvo type="max"/>
              <x14:negativeFillColor auto="1"/>
              <x14:axisColor auto="1"/>
            </x14:dataBar>
          </x14:cfRule>
          <xm:sqref>G7:G86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Bitacora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Sarumi Mora</dc:creator>
  <cp:lastModifiedBy>Sarumi Mora</cp:lastModifiedBy>
  <dcterms:created xsi:type="dcterms:W3CDTF">2026-10-17T17:54:32Z</dcterms:created>
  <dcterms:modified xsi:type="dcterms:W3CDTF">2026-10-17T17:54:32Z</dcterms:modified>
</cp:coreProperties>
</file>